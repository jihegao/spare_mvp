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/>
  <mc:AlternateContent xmlns:mc="http://schemas.openxmlformats.org/markup-compatibility/2006">
    <mc:Choice Requires="x15">
      <x15ac:absPath xmlns:x15ac="http://schemas.microsoft.com/office/spreadsheetml/2010/11/ac" url="/Users/gaojihe/Models/py_maintenance/core/dataset/"/>
    </mc:Choice>
  </mc:AlternateContent>
  <xr:revisionPtr revIDLastSave="0" documentId="13_ncr:1_{A8E6F4FD-D0B0-8947-8749-748162791539}" xr6:coauthVersionLast="47" xr6:coauthVersionMax="47" xr10:uidLastSave="{00000000-0000-0000-0000-000000000000}"/>
  <bookViews>
    <workbookView xWindow="0" yWindow="780" windowWidth="32340" windowHeight="20820" firstSheet="7" activeTab="13" xr2:uid="{00000000-000D-0000-FFFF-FFFF00000000}"/>
  </bookViews>
  <sheets>
    <sheet name="船型列表" sheetId="1" r:id="rId1"/>
    <sheet name="保障站位列表" sheetId="2" r:id="rId2"/>
    <sheet name="保障设施列表" sheetId="4" r:id="rId3"/>
    <sheet name="保障设施功能" sheetId="25" r:id="rId4"/>
    <sheet name="保障站位-设施关联矩阵" sheetId="5" r:id="rId5"/>
    <sheet name="装备结构树" sheetId="6" r:id="rId6"/>
    <sheet name="飞机池列表" sheetId="11" r:id="rId7"/>
    <sheet name="保障组织结构树" sheetId="10" r:id="rId8"/>
    <sheet name="保障人员" sheetId="12" r:id="rId9"/>
    <sheet name="保障设备" sheetId="13" r:id="rId10"/>
    <sheet name="备件" sheetId="14" r:id="rId11"/>
    <sheet name="弹药建模" sheetId="15" r:id="rId12"/>
    <sheet name="使用保障方案" sheetId="24" r:id="rId13"/>
    <sheet name="使用保障活动清单" sheetId="16" r:id="rId14"/>
    <sheet name="预防性维修活动" sheetId="17" r:id="rId15"/>
    <sheet name="修复性维修活动" sheetId="18" r:id="rId16"/>
    <sheet name="基本保障活动列表库" sheetId="19" r:id="rId17"/>
    <sheet name="基本任务" sheetId="20" r:id="rId18"/>
    <sheet name="复合任务" sheetId="21" r:id="rId19"/>
    <sheet name="周期性任务" sheetId="22" r:id="rId20"/>
    <sheet name="基本使用单元" sheetId="23" r:id="rId21"/>
  </sheets>
  <definedNames>
    <definedName name="_xlnm._FilterDatabase" localSheetId="13">使用保障活动清单!$B$1:$F$1</definedName>
    <definedName name="_xlnm._FilterDatabase" localSheetId="1" hidden="1">保障站位列表!$A$1:$E$1</definedName>
    <definedName name="_xlnm._FilterDatabase" localSheetId="2" hidden="1">保障设施列表!$A$1:$D$1</definedName>
    <definedName name="_xlnm._FilterDatabase" localSheetId="16" hidden="1">基本保障活动列表库!$A$1:$W$31</definedName>
    <definedName name="_xlnm._FilterDatabase" localSheetId="10" hidden="1">备件!$B$2:$C$20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6" l="1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167" i="16"/>
  <c r="E155" i="16"/>
  <c r="E139" i="16"/>
  <c r="E126" i="16"/>
  <c r="E109" i="16"/>
  <c r="E92" i="16"/>
  <c r="E93" i="16" s="1"/>
  <c r="E94" i="16" s="1"/>
  <c r="E95" i="16" s="1"/>
  <c r="E96" i="16" s="1"/>
  <c r="E97" i="16" s="1"/>
  <c r="E98" i="16" s="1"/>
  <c r="E91" i="16"/>
  <c r="E90" i="16"/>
  <c r="F157" i="16"/>
  <c r="E140" i="16"/>
  <c r="E141" i="16" s="1"/>
  <c r="E142" i="16" s="1"/>
  <c r="E143" i="16" s="1"/>
  <c r="E144" i="16" s="1"/>
  <c r="E145" i="16" s="1"/>
  <c r="E146" i="16" s="1"/>
  <c r="E147" i="16" s="1"/>
  <c r="E148" i="16" s="1"/>
  <c r="E149" i="16" s="1"/>
  <c r="E150" i="16" s="1"/>
  <c r="E151" i="16" s="1"/>
  <c r="E152" i="16" s="1"/>
  <c r="E153" i="16" s="1"/>
  <c r="E156" i="16" s="1"/>
  <c r="E157" i="16" s="1"/>
  <c r="E158" i="16" s="1"/>
  <c r="E159" i="16" s="1"/>
  <c r="E160" i="16" s="1"/>
  <c r="E161" i="16" s="1"/>
  <c r="E162" i="16" s="1"/>
  <c r="E163" i="16" s="1"/>
  <c r="E164" i="16" s="1"/>
  <c r="E165" i="16" s="1"/>
  <c r="E168" i="16" s="1"/>
  <c r="E169" i="16" s="1"/>
  <c r="E170" i="16" s="1"/>
  <c r="E171" i="16" s="1"/>
  <c r="F126" i="16"/>
  <c r="F158" i="16"/>
  <c r="F164" i="16"/>
  <c r="D165" i="16"/>
  <c r="D164" i="16"/>
  <c r="D163" i="16"/>
  <c r="D162" i="16"/>
  <c r="D161" i="16"/>
  <c r="D160" i="16"/>
  <c r="D159" i="16"/>
  <c r="D158" i="16"/>
  <c r="D157" i="16"/>
  <c r="D156" i="16"/>
  <c r="D155" i="16"/>
  <c r="D154" i="16"/>
  <c r="D126" i="16"/>
  <c r="D125" i="16"/>
  <c r="D124" i="16"/>
  <c r="D123" i="16"/>
  <c r="D122" i="16"/>
  <c r="D121" i="16"/>
  <c r="D120" i="16"/>
  <c r="E4" i="16"/>
  <c r="E128" i="16"/>
  <c r="E129" i="16"/>
  <c r="E130" i="16"/>
  <c r="E131" i="16"/>
  <c r="E132" i="16"/>
  <c r="E133" i="16"/>
  <c r="E134" i="16"/>
  <c r="E135" i="16"/>
  <c r="E136" i="16"/>
  <c r="E137" i="16"/>
  <c r="F28" i="16"/>
  <c r="F50" i="16"/>
  <c r="F60" i="16"/>
  <c r="F70" i="16"/>
  <c r="F77" i="16"/>
  <c r="F79" i="16"/>
  <c r="F80" i="16"/>
  <c r="F87" i="16"/>
  <c r="F94" i="16"/>
  <c r="F95" i="16"/>
  <c r="F96" i="16"/>
  <c r="F97" i="16"/>
  <c r="F98" i="16"/>
  <c r="F104" i="16"/>
  <c r="F105" i="16"/>
  <c r="F106" i="16"/>
  <c r="F113" i="16"/>
  <c r="F114" i="16"/>
  <c r="F115" i="16"/>
  <c r="F116" i="16"/>
  <c r="F118" i="16"/>
  <c r="F123" i="16"/>
  <c r="F133" i="16"/>
  <c r="F144" i="16"/>
  <c r="F145" i="16"/>
  <c r="F146" i="16"/>
  <c r="F152" i="16"/>
  <c r="F153" i="16"/>
  <c r="F154" i="16"/>
  <c r="F155" i="16"/>
  <c r="F156" i="16"/>
  <c r="D28" i="16"/>
  <c r="F171" i="16"/>
  <c r="F170" i="16"/>
  <c r="F165" i="16"/>
  <c r="F166" i="16"/>
  <c r="F167" i="16"/>
  <c r="F168" i="16"/>
  <c r="F169" i="16"/>
  <c r="F163" i="16"/>
  <c r="F159" i="16"/>
  <c r="F160" i="16"/>
  <c r="F161" i="16"/>
  <c r="F162" i="16"/>
  <c r="F149" i="16"/>
  <c r="F150" i="16"/>
  <c r="F151" i="16"/>
  <c r="F90" i="16"/>
  <c r="F91" i="16"/>
  <c r="F92" i="16"/>
  <c r="F93" i="16"/>
  <c r="F99" i="16"/>
  <c r="F100" i="16"/>
  <c r="F101" i="16"/>
  <c r="F102" i="16"/>
  <c r="F103" i="16"/>
  <c r="F107" i="16"/>
  <c r="F108" i="16"/>
  <c r="F109" i="16"/>
  <c r="F110" i="16"/>
  <c r="F111" i="16"/>
  <c r="F112" i="16"/>
  <c r="F117" i="16"/>
  <c r="F119" i="16"/>
  <c r="F120" i="16"/>
  <c r="F121" i="16"/>
  <c r="F122" i="16"/>
  <c r="F124" i="16"/>
  <c r="F125" i="16"/>
  <c r="F127" i="16"/>
  <c r="F128" i="16"/>
  <c r="F129" i="16"/>
  <c r="F130" i="16"/>
  <c r="F131" i="16"/>
  <c r="F132" i="16"/>
  <c r="F134" i="16"/>
  <c r="F135" i="16"/>
  <c r="F136" i="16"/>
  <c r="F137" i="16"/>
  <c r="F138" i="16"/>
  <c r="F139" i="16"/>
  <c r="F140" i="16"/>
  <c r="F141" i="16"/>
  <c r="F142" i="16"/>
  <c r="F143" i="16"/>
  <c r="F147" i="16"/>
  <c r="F148" i="16"/>
  <c r="F89" i="16"/>
  <c r="F73" i="16"/>
  <c r="F74" i="16"/>
  <c r="F75" i="16"/>
  <c r="F76" i="16"/>
  <c r="F78" i="16"/>
  <c r="F81" i="16"/>
  <c r="F82" i="16"/>
  <c r="F83" i="16"/>
  <c r="F84" i="16"/>
  <c r="F85" i="16"/>
  <c r="F86" i="16"/>
  <c r="F88" i="16"/>
  <c r="F72" i="16"/>
  <c r="F42" i="16"/>
  <c r="F43" i="16"/>
  <c r="F44" i="16"/>
  <c r="F45" i="16"/>
  <c r="F46" i="16"/>
  <c r="F47" i="16"/>
  <c r="F48" i="16"/>
  <c r="F49" i="16"/>
  <c r="F51" i="16"/>
  <c r="F52" i="16"/>
  <c r="F53" i="16"/>
  <c r="F54" i="16"/>
  <c r="F55" i="16"/>
  <c r="F56" i="16"/>
  <c r="F57" i="16"/>
  <c r="F58" i="16"/>
  <c r="F59" i="16"/>
  <c r="F61" i="16"/>
  <c r="F62" i="16"/>
  <c r="F63" i="16"/>
  <c r="F64" i="16"/>
  <c r="F65" i="16"/>
  <c r="F66" i="16"/>
  <c r="F67" i="16"/>
  <c r="F68" i="16"/>
  <c r="F69" i="16"/>
  <c r="F71" i="16"/>
  <c r="F41" i="16"/>
  <c r="F24" i="16"/>
  <c r="F25" i="16"/>
  <c r="F26" i="16"/>
  <c r="F27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23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" i="16"/>
  <c r="C33" i="12"/>
  <c r="C32" i="12"/>
  <c r="C31" i="12"/>
  <c r="C34" i="12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66" i="16"/>
  <c r="D167" i="16"/>
  <c r="D168" i="16"/>
  <c r="D169" i="16"/>
  <c r="D170" i="16"/>
  <c r="D171" i="16"/>
  <c r="D2" i="16"/>
  <c r="C30" i="12"/>
  <c r="I120" i="13"/>
  <c r="D120" i="13"/>
  <c r="I119" i="13"/>
  <c r="D119" i="13"/>
  <c r="I118" i="13"/>
  <c r="D118" i="13"/>
  <c r="I117" i="13"/>
  <c r="D117" i="13"/>
  <c r="I116" i="13"/>
  <c r="D116" i="13"/>
  <c r="I115" i="13"/>
  <c r="D115" i="13"/>
  <c r="I114" i="13"/>
  <c r="I113" i="13"/>
  <c r="D114" i="13"/>
  <c r="D113" i="13"/>
  <c r="I112" i="13"/>
  <c r="D112" i="13"/>
  <c r="I111" i="13"/>
  <c r="D111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3" i="13"/>
  <c r="D2" i="13"/>
  <c r="G25" i="18"/>
  <c r="G24" i="18"/>
  <c r="G23" i="18"/>
  <c r="G22" i="18"/>
  <c r="G21" i="18"/>
  <c r="E120" i="16"/>
  <c r="E121" i="16" s="1"/>
  <c r="E122" i="16" s="1"/>
  <c r="E123" i="16" s="1"/>
  <c r="E124" i="16" s="1"/>
  <c r="E125" i="16" s="1"/>
  <c r="E100" i="16"/>
  <c r="E101" i="16" s="1"/>
  <c r="E102" i="16" s="1"/>
  <c r="E103" i="16" s="1"/>
  <c r="E104" i="16" s="1"/>
  <c r="E105" i="16" s="1"/>
  <c r="E106" i="16" s="1"/>
  <c r="E107" i="16" s="1"/>
  <c r="E108" i="16" s="1"/>
  <c r="O38" i="17"/>
  <c r="O37" i="17"/>
  <c r="O36" i="17"/>
  <c r="O35" i="17"/>
  <c r="O33" i="17"/>
  <c r="O29" i="17"/>
  <c r="O28" i="17"/>
  <c r="O27" i="17"/>
  <c r="O26" i="17"/>
  <c r="O22" i="17"/>
  <c r="O21" i="17"/>
  <c r="O20" i="17"/>
  <c r="O19" i="17"/>
  <c r="O15" i="17"/>
  <c r="O14" i="17"/>
  <c r="O13" i="17"/>
  <c r="O12" i="17"/>
  <c r="O10" i="17"/>
  <c r="O6" i="17"/>
  <c r="O5" i="17"/>
  <c r="O4" i="17"/>
  <c r="O3" i="17"/>
  <c r="C12" i="12"/>
  <c r="C10" i="12"/>
  <c r="C9" i="12"/>
  <c r="C8" i="12"/>
  <c r="C7" i="12"/>
  <c r="C6" i="12"/>
  <c r="C5" i="12"/>
  <c r="C4" i="12"/>
  <c r="C3" i="12"/>
  <c r="C2" i="12"/>
  <c r="E3" i="16"/>
  <c r="I4" i="13"/>
  <c r="I5" i="13"/>
  <c r="I6" i="13"/>
  <c r="I8" i="13"/>
  <c r="I9" i="13"/>
  <c r="I10" i="13"/>
  <c r="I12" i="13"/>
  <c r="I14" i="13"/>
  <c r="I15" i="13"/>
  <c r="I16" i="13"/>
  <c r="I17" i="13"/>
  <c r="I27" i="13"/>
  <c r="I28" i="13"/>
  <c r="I36" i="13"/>
  <c r="I37" i="13"/>
  <c r="I38" i="13"/>
  <c r="I41" i="13"/>
  <c r="I46" i="13"/>
  <c r="I47" i="13"/>
  <c r="I48" i="13"/>
  <c r="I51" i="13"/>
  <c r="I56" i="13"/>
  <c r="I58" i="13"/>
  <c r="I61" i="13"/>
  <c r="I66" i="13"/>
  <c r="I67" i="13"/>
  <c r="I68" i="13"/>
  <c r="I71" i="13"/>
  <c r="I76" i="13"/>
  <c r="I77" i="13"/>
  <c r="I78" i="13"/>
  <c r="I81" i="13"/>
  <c r="I86" i="13"/>
  <c r="I87" i="13"/>
  <c r="I88" i="13"/>
  <c r="I89" i="13"/>
  <c r="I91" i="13"/>
  <c r="I96" i="13"/>
  <c r="I97" i="13"/>
  <c r="I98" i="13"/>
  <c r="I99" i="13"/>
  <c r="I101" i="13"/>
  <c r="I106" i="13"/>
  <c r="I107" i="13"/>
  <c r="I108" i="13"/>
  <c r="I109" i="13"/>
  <c r="I3" i="13"/>
  <c r="I2" i="13"/>
  <c r="C26" i="12"/>
  <c r="C27" i="12"/>
  <c r="C28" i="12"/>
  <c r="E36" i="10"/>
  <c r="E35" i="10"/>
  <c r="E34" i="10"/>
  <c r="E33" i="10"/>
  <c r="E32" i="10"/>
  <c r="E31" i="10"/>
  <c r="E30" i="10"/>
  <c r="E29" i="10"/>
  <c r="E28" i="10"/>
  <c r="E27" i="10"/>
  <c r="E26" i="10"/>
  <c r="E25" i="10"/>
  <c r="C29" i="12" s="1"/>
  <c r="E24" i="10"/>
  <c r="E23" i="10"/>
  <c r="E22" i="10"/>
  <c r="E21" i="10"/>
  <c r="E20" i="10"/>
  <c r="E19" i="10"/>
  <c r="C19" i="12" s="1"/>
  <c r="E18" i="10"/>
  <c r="C11" i="12" s="1"/>
  <c r="E17" i="10"/>
  <c r="E16" i="10"/>
  <c r="E15" i="10"/>
  <c r="E14" i="10"/>
  <c r="E13" i="10"/>
  <c r="I18" i="13" s="1"/>
  <c r="E12" i="10"/>
  <c r="E11" i="10"/>
  <c r="E10" i="10"/>
  <c r="E9" i="10"/>
  <c r="E8" i="10"/>
  <c r="E7" i="10"/>
  <c r="E6" i="10"/>
  <c r="E5" i="10"/>
  <c r="E4" i="10"/>
  <c r="I13" i="13" s="1"/>
  <c r="E3" i="10"/>
  <c r="E2" i="10"/>
  <c r="D36" i="10"/>
  <c r="D35" i="10"/>
  <c r="D32" i="10"/>
  <c r="D33" i="10" s="1"/>
  <c r="D31" i="10"/>
  <c r="D26" i="10"/>
  <c r="D27" i="10" s="1"/>
  <c r="D28" i="10" s="1"/>
  <c r="D29" i="10" s="1"/>
  <c r="D22" i="10"/>
  <c r="D23" i="10" s="1"/>
  <c r="D24" i="10" s="1"/>
  <c r="D16" i="10"/>
  <c r="D17" i="10" s="1"/>
  <c r="D15" i="10"/>
  <c r="D14" i="10"/>
  <c r="D13" i="10"/>
  <c r="D8" i="10"/>
  <c r="D9" i="10" s="1"/>
  <c r="D10" i="10" s="1"/>
  <c r="D11" i="10" s="1"/>
  <c r="D12" i="10" s="1"/>
  <c r="D7" i="10"/>
  <c r="D33" i="6"/>
  <c r="D32" i="6"/>
  <c r="D31" i="6"/>
  <c r="D30" i="6"/>
  <c r="D29" i="6"/>
  <c r="D28" i="6"/>
  <c r="D26" i="6"/>
  <c r="D25" i="6"/>
  <c r="D24" i="6"/>
  <c r="D23" i="6"/>
  <c r="D22" i="6"/>
  <c r="D21" i="6"/>
  <c r="D19" i="6"/>
  <c r="D18" i="6"/>
  <c r="D17" i="6"/>
  <c r="D16" i="6"/>
  <c r="D15" i="6"/>
  <c r="D14" i="6"/>
  <c r="D12" i="6"/>
  <c r="D11" i="6"/>
  <c r="D10" i="6"/>
  <c r="D9" i="6"/>
  <c r="D8" i="6"/>
  <c r="D7" i="6"/>
  <c r="D6" i="6"/>
  <c r="D5" i="6"/>
  <c r="D4" i="6"/>
  <c r="D3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2" i="6"/>
  <c r="I69" i="13" l="1"/>
  <c r="I79" i="13"/>
  <c r="I59" i="13"/>
  <c r="I25" i="13"/>
  <c r="C21" i="12"/>
  <c r="I95" i="13"/>
  <c r="I44" i="13"/>
  <c r="I94" i="13"/>
  <c r="I74" i="13"/>
  <c r="I43" i="13"/>
  <c r="I33" i="13"/>
  <c r="I22" i="13"/>
  <c r="I11" i="13"/>
  <c r="C14" i="12"/>
  <c r="C23" i="12"/>
  <c r="I55" i="13"/>
  <c r="I35" i="13"/>
  <c r="I105" i="13"/>
  <c r="I65" i="13"/>
  <c r="I23" i="13"/>
  <c r="C13" i="12"/>
  <c r="I53" i="13"/>
  <c r="I103" i="13"/>
  <c r="I93" i="13"/>
  <c r="I83" i="13"/>
  <c r="I73" i="13"/>
  <c r="I63" i="13"/>
  <c r="I52" i="13"/>
  <c r="I42" i="13"/>
  <c r="I32" i="13"/>
  <c r="I21" i="13"/>
  <c r="C15" i="12"/>
  <c r="C24" i="12"/>
  <c r="I75" i="13"/>
  <c r="I34" i="13"/>
  <c r="C22" i="12"/>
  <c r="I84" i="13"/>
  <c r="I102" i="13"/>
  <c r="I92" i="13"/>
  <c r="I82" i="13"/>
  <c r="I72" i="13"/>
  <c r="I62" i="13"/>
  <c r="I31" i="13"/>
  <c r="I20" i="13"/>
  <c r="C16" i="12"/>
  <c r="C25" i="12"/>
  <c r="C20" i="12"/>
  <c r="I45" i="13"/>
  <c r="I24" i="13"/>
  <c r="I85" i="13"/>
  <c r="I54" i="13"/>
  <c r="I104" i="13"/>
  <c r="I64" i="13"/>
  <c r="I50" i="13"/>
  <c r="I40" i="13"/>
  <c r="I30" i="13"/>
  <c r="I19" i="13"/>
  <c r="C17" i="12"/>
  <c r="I110" i="13"/>
  <c r="I100" i="13"/>
  <c r="I90" i="13"/>
  <c r="I80" i="13"/>
  <c r="I70" i="13"/>
  <c r="I60" i="13"/>
  <c r="I49" i="13"/>
  <c r="I39" i="13"/>
  <c r="I29" i="13"/>
  <c r="I7" i="13"/>
  <c r="C18" i="12"/>
  <c r="E110" i="16"/>
  <c r="E111" i="16" s="1"/>
  <c r="E112" i="16" s="1"/>
  <c r="E113" i="16" s="1"/>
  <c r="E114" i="16" s="1"/>
  <c r="E115" i="16" s="1"/>
  <c r="E116" i="16" s="1"/>
  <c r="E117" i="16" s="1"/>
  <c r="E118" i="16" s="1"/>
  <c r="I57" i="13"/>
  <c r="I26" i="13"/>
</calcChain>
</file>

<file path=xl/sharedStrings.xml><?xml version="1.0" encoding="utf-8"?>
<sst xmlns="http://schemas.openxmlformats.org/spreadsheetml/2006/main" count="3888" uniqueCount="1184">
  <si>
    <t>序号</t>
  </si>
  <si>
    <t>船型名称</t>
  </si>
  <si>
    <t>3号船</t>
  </si>
  <si>
    <t>站位编号</t>
  </si>
  <si>
    <t>站位名称</t>
  </si>
  <si>
    <t>否</t>
  </si>
  <si>
    <t>PK-01</t>
  </si>
  <si>
    <t>PK-02</t>
  </si>
  <si>
    <t>PK-03</t>
  </si>
  <si>
    <t>PK-04</t>
  </si>
  <si>
    <t>PK-05</t>
  </si>
  <si>
    <t>PK-06</t>
  </si>
  <si>
    <t>PK-07</t>
  </si>
  <si>
    <t>PK-08</t>
  </si>
  <si>
    <t>PK-09</t>
  </si>
  <si>
    <t>PK-10</t>
  </si>
  <si>
    <t>PK-11</t>
  </si>
  <si>
    <t>PK-12</t>
  </si>
  <si>
    <t>PK-13</t>
  </si>
  <si>
    <t>PK-14</t>
  </si>
  <si>
    <t>PK-15</t>
  </si>
  <si>
    <t>设施编号</t>
  </si>
  <si>
    <t>功能</t>
  </si>
  <si>
    <t>供电</t>
  </si>
  <si>
    <t>加油</t>
  </si>
  <si>
    <t>液压</t>
  </si>
  <si>
    <t>层级</t>
  </si>
  <si>
    <t>机型名称</t>
  </si>
  <si>
    <t>节点名称</t>
  </si>
  <si>
    <t>型号</t>
  </si>
  <si>
    <t>数量（n）</t>
  </si>
  <si>
    <t>是否为LRU</t>
  </si>
  <si>
    <t>故障率</t>
  </si>
  <si>
    <t>MTBCF</t>
  </si>
  <si>
    <t>故障抽样分布</t>
  </si>
  <si>
    <t>平均修复时间（min）</t>
  </si>
  <si>
    <t>修复时间抽样分布</t>
  </si>
  <si>
    <t>是否可被检测</t>
  </si>
  <si>
    <t>检测和隔离时间</t>
  </si>
  <si>
    <t>功能描述</t>
  </si>
  <si>
    <t>性能描述</t>
  </si>
  <si>
    <t>航电系统</t>
  </si>
  <si>
    <t>SYS-AV-01</t>
  </si>
  <si>
    <t>任务计算机模块</t>
  </si>
  <si>
    <t>LRU-RW-01</t>
  </si>
  <si>
    <t>雷达接收机模块</t>
  </si>
  <si>
    <t>LRU-LD-02</t>
  </si>
  <si>
    <t>惯导处理模块</t>
  </si>
  <si>
    <t>LRU-GD-03</t>
  </si>
  <si>
    <t>液压系统</t>
  </si>
  <si>
    <t>SYS-HY-01</t>
  </si>
  <si>
    <t>液压泵控制器</t>
  </si>
  <si>
    <t>LRU-YY-01</t>
  </si>
  <si>
    <t>作动筒监测组件</t>
  </si>
  <si>
    <t>LRU-ZD-02</t>
  </si>
  <si>
    <t>动力系统</t>
  </si>
  <si>
    <t>SYS-DL-01</t>
  </si>
  <si>
    <t>燃油计量控制器</t>
  </si>
  <si>
    <t>LRU-RY-01</t>
  </si>
  <si>
    <t>起动控制盒</t>
  </si>
  <si>
    <t>LRU-QD-02</t>
  </si>
  <si>
    <t>通信导航系统</t>
  </si>
  <si>
    <t>SYS-TX-01</t>
  </si>
  <si>
    <t>北斗导航接收机</t>
  </si>
  <si>
    <t>LRU-BD-01</t>
  </si>
  <si>
    <t>机载通信终端</t>
  </si>
  <si>
    <t>LRU-TX-02</t>
  </si>
  <si>
    <t>旋翼传动系统</t>
  </si>
  <si>
    <t>SYS-XY-01</t>
  </si>
  <si>
    <t>主减速器监测单元</t>
  </si>
  <si>
    <t>LRU-JS-01</t>
  </si>
  <si>
    <t>尾桨控制组件</t>
  </si>
  <si>
    <t>LRU-WJ-02</t>
  </si>
  <si>
    <t>武器控制系统</t>
  </si>
  <si>
    <t>SYS-WQ-01</t>
  </si>
  <si>
    <t>火控处理器</t>
  </si>
  <si>
    <t>LRU-HK-01</t>
  </si>
  <si>
    <t>挂架接口模块</t>
  </si>
  <si>
    <t>LRU-GJ-02</t>
  </si>
  <si>
    <t>起落架系统</t>
  </si>
  <si>
    <t>SYS-QL-01</t>
  </si>
  <si>
    <t>前起控制组件</t>
  </si>
  <si>
    <t>LRU-QQ-01</t>
  </si>
  <si>
    <t>刹车控制阀组</t>
  </si>
  <si>
    <t>LRU-SC-02</t>
  </si>
  <si>
    <t>任务雷达系统</t>
  </si>
  <si>
    <t>SYS-RD-01</t>
  </si>
  <si>
    <t>相控阵收发模块</t>
  </si>
  <si>
    <t>LRU-XKZ-01</t>
  </si>
  <si>
    <t>任务处理服务器</t>
  </si>
  <si>
    <t>LRU-RW-KE-01</t>
  </si>
  <si>
    <t>数据链通信系统</t>
  </si>
  <si>
    <t>SYS-DL-KE-01</t>
  </si>
  <si>
    <t>宽带数据链终端</t>
  </si>
  <si>
    <t>LRU-DL-01</t>
  </si>
  <si>
    <t>卫通加密模块</t>
  </si>
  <si>
    <t>LRU-WT-01</t>
  </si>
  <si>
    <t>机型</t>
  </si>
  <si>
    <t>组织名称</t>
  </si>
  <si>
    <t>航空联队（机务）</t>
  </si>
  <si>
    <t>舰载战斗机分队</t>
  </si>
  <si>
    <t>放飞保障组</t>
  </si>
  <si>
    <t>放飞组</t>
  </si>
  <si>
    <t>流道组</t>
  </si>
  <si>
    <t>技术保障组</t>
  </si>
  <si>
    <t>机电组</t>
  </si>
  <si>
    <t>军械组</t>
  </si>
  <si>
    <t>航电组</t>
  </si>
  <si>
    <t>飞参组</t>
  </si>
  <si>
    <t>发监组</t>
  </si>
  <si>
    <t>修理保障组</t>
  </si>
  <si>
    <t>附件组</t>
  </si>
  <si>
    <t>机加组</t>
  </si>
  <si>
    <t>油液分析组</t>
  </si>
  <si>
    <t>探伤组</t>
  </si>
  <si>
    <t>舰载直升机分队</t>
  </si>
  <si>
    <t>舰载预警机分队</t>
  </si>
  <si>
    <t>航空联队（勤务）</t>
  </si>
  <si>
    <t>调运中队</t>
  </si>
  <si>
    <t>机械区队</t>
  </si>
  <si>
    <t>转运区队</t>
  </si>
  <si>
    <t>信息调度引导区队</t>
  </si>
  <si>
    <t>舰面保障中队</t>
  </si>
  <si>
    <t>航空油料区队</t>
  </si>
  <si>
    <t>气电区队</t>
  </si>
  <si>
    <t>舰面支持设备区队</t>
  </si>
  <si>
    <t>维修航材区队</t>
  </si>
  <si>
    <t>起降保障中队</t>
  </si>
  <si>
    <t>起飞系统区队</t>
  </si>
  <si>
    <t>拦阻系统区队</t>
  </si>
  <si>
    <t>着舰光学引导区队</t>
  </si>
  <si>
    <t>机载弹药保障中队</t>
  </si>
  <si>
    <t>保管测试区队</t>
  </si>
  <si>
    <t>弹药转运区队</t>
  </si>
  <si>
    <t>飞机编号</t>
  </si>
  <si>
    <t>保障组织</t>
  </si>
  <si>
    <t>现处状态</t>
  </si>
  <si>
    <t>出厂日期</t>
  </si>
  <si>
    <t>总规定年限</t>
  </si>
  <si>
    <t>总规定寿命</t>
  </si>
  <si>
    <t>总规定起落</t>
  </si>
  <si>
    <t>总飞行时间</t>
  </si>
  <si>
    <t>总起落次数</t>
  </si>
  <si>
    <t>翻修后规定年限</t>
  </si>
  <si>
    <t>翻修后总规定寿命</t>
  </si>
  <si>
    <t>翻修后规定起落</t>
  </si>
  <si>
    <t>飞行时间</t>
  </si>
  <si>
    <t>剩余寿命</t>
  </si>
  <si>
    <t>飞行起落次数</t>
  </si>
  <si>
    <t>在册完好</t>
  </si>
  <si>
    <t>2019-01-15</t>
  </si>
  <si>
    <t>2003:00</t>
  </si>
  <si>
    <t>277:15</t>
  </si>
  <si>
    <t>8年</t>
  </si>
  <si>
    <t>1002:00</t>
  </si>
  <si>
    <t>724:45</t>
  </si>
  <si>
    <t>2018-02-15</t>
  </si>
  <si>
    <t>2006:00</t>
  </si>
  <si>
    <t>278:30</t>
  </si>
  <si>
    <t>1004:00</t>
  </si>
  <si>
    <t>725:30</t>
  </si>
  <si>
    <t>2017-03-15</t>
  </si>
  <si>
    <t>2009:00</t>
  </si>
  <si>
    <t>279:45</t>
  </si>
  <si>
    <t>1006:00</t>
  </si>
  <si>
    <t>726:15</t>
  </si>
  <si>
    <t>2016-04-15</t>
  </si>
  <si>
    <t>2012:00</t>
  </si>
  <si>
    <t>281:00</t>
  </si>
  <si>
    <t>1008:00</t>
  </si>
  <si>
    <t>727:00</t>
  </si>
  <si>
    <t>2019-05-15</t>
  </si>
  <si>
    <t>2015:00</t>
  </si>
  <si>
    <t>282:15</t>
  </si>
  <si>
    <t>1010:00</t>
  </si>
  <si>
    <t>727:45</t>
  </si>
  <si>
    <t>2018-06-15</t>
  </si>
  <si>
    <t>2018:00</t>
  </si>
  <si>
    <t>283:30</t>
  </si>
  <si>
    <t>1012:00</t>
  </si>
  <si>
    <t>728:30</t>
  </si>
  <si>
    <t>2017-07-15</t>
  </si>
  <si>
    <t>2021:00</t>
  </si>
  <si>
    <t>284:45</t>
  </si>
  <si>
    <t>1014:00</t>
  </si>
  <si>
    <t>729:15</t>
  </si>
  <si>
    <t>2016-08-15</t>
  </si>
  <si>
    <t>2024:00</t>
  </si>
  <si>
    <t>286:00</t>
  </si>
  <si>
    <t>1016:00</t>
  </si>
  <si>
    <t>730:00</t>
  </si>
  <si>
    <t>2019-09-15</t>
  </si>
  <si>
    <t>2027:00</t>
  </si>
  <si>
    <t>287:15</t>
  </si>
  <si>
    <t>1018:00</t>
  </si>
  <si>
    <t>730:45</t>
  </si>
  <si>
    <t>2018-10-15</t>
  </si>
  <si>
    <t>2030:00</t>
  </si>
  <si>
    <t>288:30</t>
  </si>
  <si>
    <t>1020:00</t>
  </si>
  <si>
    <t>731:30</t>
  </si>
  <si>
    <t>2017-11-15</t>
  </si>
  <si>
    <t>2033:00</t>
  </si>
  <si>
    <t>289:45</t>
  </si>
  <si>
    <t>1022:00</t>
  </si>
  <si>
    <t>732:15</t>
  </si>
  <si>
    <t>2016-12-15</t>
  </si>
  <si>
    <t>2036:00</t>
  </si>
  <si>
    <t>291:00</t>
  </si>
  <si>
    <t>1024:00</t>
  </si>
  <si>
    <t>733:00</t>
  </si>
  <si>
    <t>2039:00</t>
  </si>
  <si>
    <t>292:15</t>
  </si>
  <si>
    <t>1026:00</t>
  </si>
  <si>
    <t>733:45</t>
  </si>
  <si>
    <t>2020-01-15</t>
  </si>
  <si>
    <t>2019-02-15</t>
  </si>
  <si>
    <t>2018-03-15</t>
  </si>
  <si>
    <t>2017-04-15</t>
  </si>
  <si>
    <t>2020-05-15</t>
  </si>
  <si>
    <t>2015-01-15</t>
  </si>
  <si>
    <t>2014-02-15</t>
  </si>
  <si>
    <t>2013-03-15</t>
  </si>
  <si>
    <t>2012-04-15</t>
  </si>
  <si>
    <t>2015-05-15</t>
  </si>
  <si>
    <t>2014-06-15</t>
  </si>
  <si>
    <t>2013-07-15</t>
  </si>
  <si>
    <t>2012-08-15</t>
  </si>
  <si>
    <t>2018-01-15</t>
  </si>
  <si>
    <t>2017-02-15</t>
  </si>
  <si>
    <t>2016-03-15</t>
  </si>
  <si>
    <t>2015-04-15</t>
  </si>
  <si>
    <t>所属部门</t>
  </si>
  <si>
    <t>专业名称</t>
  </si>
  <si>
    <t>专业等级</t>
  </si>
  <si>
    <t>特设</t>
  </si>
  <si>
    <t>航电</t>
  </si>
  <si>
    <t>机械</t>
  </si>
  <si>
    <t>勤务组</t>
  </si>
  <si>
    <t>军械</t>
  </si>
  <si>
    <t>名称</t>
  </si>
  <si>
    <t>适用机型</t>
  </si>
  <si>
    <t>数量</t>
  </si>
  <si>
    <t>计量单位</t>
  </si>
  <si>
    <t>台</t>
  </si>
  <si>
    <t>套</t>
  </si>
  <si>
    <t>FX-02</t>
  </si>
  <si>
    <t>方案名称</t>
  </si>
  <si>
    <t>最大工作时间参考(min)</t>
  </si>
  <si>
    <t>仿真运行规则</t>
  </si>
  <si>
    <t>作业项</t>
  </si>
  <si>
    <t>紧前作业</t>
  </si>
  <si>
    <t>工期(min)</t>
  </si>
  <si>
    <t>计划停机小时</t>
  </si>
  <si>
    <t>启动日历时间</t>
  </si>
  <si>
    <t>日历日间隔</t>
  </si>
  <si>
    <t>日历日间隔上下浮动比例(%)</t>
  </si>
  <si>
    <t>启动飞行小时</t>
  </si>
  <si>
    <t>飞行小时间隔</t>
  </si>
  <si>
    <t>飞行小时上下浮动比例(%)</t>
  </si>
  <si>
    <t>启动起落次数</t>
  </si>
  <si>
    <t>起落次数间隔</t>
  </si>
  <si>
    <t>起落次数间隔上下浮动比例(%)</t>
  </si>
  <si>
    <t>启用</t>
  </si>
  <si>
    <t>REP-001</t>
  </si>
  <si>
    <t>定检航电检查</t>
  </si>
  <si>
    <t>REP-002</t>
  </si>
  <si>
    <t>发动机拆卸</t>
  </si>
  <si>
    <t>REP-003</t>
  </si>
  <si>
    <t>起落架收放测试</t>
  </si>
  <si>
    <t>REP-004</t>
  </si>
  <si>
    <t>燃油系统密封性检查</t>
  </si>
  <si>
    <t>REP-005</t>
  </si>
  <si>
    <t>机载雷达效能测试</t>
  </si>
  <si>
    <t>REP-006</t>
  </si>
  <si>
    <t>通信链路校准</t>
  </si>
  <si>
    <t>REP-007</t>
  </si>
  <si>
    <t>武器外挂架检查</t>
  </si>
  <si>
    <t>50小时周期性工作</t>
  </si>
  <si>
    <t>REP-012</t>
  </si>
  <si>
    <t>旋翼传动系统振动检测</t>
  </si>
  <si>
    <t>REP-013</t>
  </si>
  <si>
    <t>通信导航系统校线</t>
  </si>
  <si>
    <t>REP-008</t>
  </si>
  <si>
    <t>REP-009</t>
  </si>
  <si>
    <t>REP-014</t>
  </si>
  <si>
    <t>REP-010</t>
  </si>
  <si>
    <t>REP-011</t>
  </si>
  <si>
    <t>维修对象</t>
  </si>
  <si>
    <t>维修类型</t>
  </si>
  <si>
    <t>原位维修</t>
  </si>
  <si>
    <t>类型</t>
  </si>
  <si>
    <t>适用对象</t>
  </si>
  <si>
    <t>弹药需求</t>
  </si>
  <si>
    <t>备件需求</t>
  </si>
  <si>
    <t>使用保障</t>
  </si>
  <si>
    <t>加油组</t>
  </si>
  <si>
    <t>挂弹组</t>
  </si>
  <si>
    <t>基本任务名称</t>
  </si>
  <si>
    <t>任务编号</t>
  </si>
  <si>
    <t>装备数量</t>
  </si>
  <si>
    <t>任务时长（分钟）</t>
  </si>
  <si>
    <t>准备时间（min）</t>
  </si>
  <si>
    <t>取消时间（min）</t>
  </si>
  <si>
    <t>使用保障活动</t>
  </si>
  <si>
    <t>任务区域描述</t>
  </si>
  <si>
    <t>更新时间</t>
  </si>
  <si>
    <t>BT-20260309-001</t>
  </si>
  <si>
    <t>2026-03-08T09:30</t>
  </si>
  <si>
    <t>BT-20260309-004</t>
  </si>
  <si>
    <t>2026-03-09T09:30</t>
  </si>
  <si>
    <t>BT-20260310-005</t>
  </si>
  <si>
    <t>2026-03-10T10:30</t>
  </si>
  <si>
    <t>BT-20260309-007</t>
  </si>
  <si>
    <t>2026-03-10T09:30</t>
  </si>
  <si>
    <t>BT-20260309-010</t>
  </si>
  <si>
    <t>2026-03-11T09:30</t>
  </si>
  <si>
    <t>复合任务名称</t>
  </si>
  <si>
    <t>装备类型</t>
  </si>
  <si>
    <t>编队名称</t>
  </si>
  <si>
    <t>任务下达时间</t>
  </si>
  <si>
    <t>首波次出动时刻</t>
  </si>
  <si>
    <t>单日重复次数</t>
  </si>
  <si>
    <t>间隔小时数</t>
  </si>
  <si>
    <t>周期性任务名称</t>
  </si>
  <si>
    <t>星期一</t>
  </si>
  <si>
    <t>星期二</t>
  </si>
  <si>
    <t>星期三</t>
  </si>
  <si>
    <t>星期四</t>
  </si>
  <si>
    <t>星期五</t>
  </si>
  <si>
    <t>星期六</t>
  </si>
  <si>
    <t>星期日</t>
  </si>
  <si>
    <t>重复周数</t>
  </si>
  <si>
    <t>周期性任务A</t>
  </si>
  <si>
    <t>装备型号</t>
  </si>
  <si>
    <t>需求数量</t>
  </si>
  <si>
    <t>成员编号</t>
  </si>
  <si>
    <t>E2D</t>
  </si>
  <si>
    <t>F35</t>
  </si>
  <si>
    <t>Z20</t>
  </si>
  <si>
    <t>F15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</si>
  <si>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</si>
  <si>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</si>
  <si>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</si>
  <si>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</si>
  <si>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</si>
  <si>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</si>
  <si>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</si>
  <si>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</si>
  <si>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</si>
  <si>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</si>
  <si>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</si>
  <si>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</si>
  <si>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</si>
  <si>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</si>
  <si>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</si>
  <si>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</si>
  <si>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</si>
  <si>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</si>
  <si>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</si>
  <si>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</si>
  <si>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</si>
  <si>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</si>
  <si>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</si>
  <si>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试车</t>
  </si>
  <si>
    <t>先到先服务</t>
  </si>
  <si>
    <t>F35方案1</t>
  </si>
  <si>
    <t>Z20方案1</t>
  </si>
  <si>
    <t>F15方案1</t>
  </si>
  <si>
    <t>F15-方案1-直接</t>
  </si>
  <si>
    <t>F15-方案1-再次</t>
  </si>
  <si>
    <t>F15-方案1-飞行后</t>
  </si>
  <si>
    <t>直接</t>
  </si>
  <si>
    <t>再次</t>
  </si>
  <si>
    <t>飞行后</t>
  </si>
  <si>
    <t>ZKT01</t>
  </si>
  <si>
    <t>ZKT02</t>
  </si>
  <si>
    <t>ZKT03</t>
  </si>
  <si>
    <t>ZKT04</t>
  </si>
  <si>
    <t>ZKT05</t>
  </si>
  <si>
    <t>ZKT06</t>
  </si>
  <si>
    <t>ZKT07</t>
  </si>
  <si>
    <t>ZKT08</t>
  </si>
  <si>
    <t>SKT01</t>
  </si>
  <si>
    <t>SKT02</t>
  </si>
  <si>
    <t>SKT03</t>
  </si>
  <si>
    <t>SKT04</t>
  </si>
  <si>
    <t>SKT05</t>
  </si>
  <si>
    <t>SKT06</t>
  </si>
  <si>
    <t>SKT07</t>
  </si>
  <si>
    <t>SKT08</t>
  </si>
  <si>
    <t>站位</t>
  </si>
  <si>
    <t>惯导</t>
  </si>
  <si>
    <t>供氮</t>
  </si>
  <si>
    <t>供氧</t>
  </si>
  <si>
    <t>液冷</t>
  </si>
  <si>
    <t>YDZ04</t>
  </si>
  <si>
    <t>ZKT09</t>
  </si>
  <si>
    <t>YY02</t>
  </si>
  <si>
    <t>SKT09</t>
  </si>
  <si>
    <t>DQ03</t>
  </si>
  <si>
    <t>JY06</t>
  </si>
  <si>
    <t>YDZ03</t>
  </si>
  <si>
    <t>GD06G</t>
  </si>
  <si>
    <t>C3</t>
  </si>
  <si>
    <t>JY05</t>
  </si>
  <si>
    <t>DQ02</t>
  </si>
  <si>
    <t>GD05G</t>
  </si>
  <si>
    <t>C2</t>
  </si>
  <si>
    <t>YDZ02</t>
  </si>
  <si>
    <t>JY03</t>
  </si>
  <si>
    <t>GD04G</t>
  </si>
  <si>
    <t>P1A</t>
  </si>
  <si>
    <t>YDZ01</t>
  </si>
  <si>
    <t>YY01</t>
  </si>
  <si>
    <t>DQ01</t>
  </si>
  <si>
    <t>GD15G</t>
  </si>
  <si>
    <t>YQ01</t>
  </si>
  <si>
    <t>P2A</t>
  </si>
  <si>
    <t>JY01</t>
  </si>
  <si>
    <t>YY03</t>
  </si>
  <si>
    <t>JY09</t>
  </si>
  <si>
    <t>DQ05</t>
  </si>
  <si>
    <t>GD02G</t>
  </si>
  <si>
    <t>ZKT11</t>
  </si>
  <si>
    <t>SKT11</t>
  </si>
  <si>
    <t>ZKT12</t>
  </si>
  <si>
    <t>SKT12</t>
  </si>
  <si>
    <t>ZKT13</t>
  </si>
  <si>
    <t>SKT13</t>
  </si>
  <si>
    <t>ZKT14</t>
  </si>
  <si>
    <t>JY12</t>
  </si>
  <si>
    <t>YY04</t>
  </si>
  <si>
    <t>SKT14</t>
  </si>
  <si>
    <t>YQ02</t>
  </si>
  <si>
    <t>DQ06</t>
  </si>
  <si>
    <t>YDZ07</t>
  </si>
  <si>
    <t>YY05</t>
  </si>
  <si>
    <t>ZKT16</t>
  </si>
  <si>
    <t>YQ03</t>
  </si>
  <si>
    <t>SKT18</t>
  </si>
  <si>
    <t>DQ08</t>
  </si>
  <si>
    <t>ZKT22</t>
  </si>
  <si>
    <t>JY18</t>
  </si>
  <si>
    <t>SKT23</t>
  </si>
  <si>
    <t>DQ10</t>
  </si>
  <si>
    <t>YQ06</t>
  </si>
  <si>
    <t>YY07</t>
  </si>
  <si>
    <t>YL01</t>
  </si>
  <si>
    <t>ZKT23</t>
  </si>
  <si>
    <t>SKT24</t>
  </si>
  <si>
    <t>JY19</t>
  </si>
  <si>
    <t>C1</t>
  </si>
  <si>
    <t>ZKT15</t>
  </si>
  <si>
    <t>SKT15</t>
  </si>
  <si>
    <t>E1</t>
  </si>
  <si>
    <t>SKT16</t>
  </si>
  <si>
    <t>GD19G</t>
  </si>
  <si>
    <t>GD20G</t>
  </si>
  <si>
    <t>YQ04</t>
  </si>
  <si>
    <t>ZKT19</t>
  </si>
  <si>
    <t>JY16</t>
  </si>
  <si>
    <t>ZKT20</t>
  </si>
  <si>
    <t>YY06</t>
  </si>
  <si>
    <t>SKT20</t>
  </si>
  <si>
    <t>JY17</t>
  </si>
  <si>
    <t>DQ09</t>
  </si>
  <si>
    <t>ZKT21</t>
  </si>
  <si>
    <t>SKT22</t>
  </si>
  <si>
    <t>YQ05</t>
  </si>
  <si>
    <t>E2</t>
  </si>
  <si>
    <t>JY06/JY07</t>
  </si>
  <si>
    <t>可挂弹</t>
  </si>
  <si>
    <t>可接地</t>
  </si>
  <si>
    <t>可试车</t>
  </si>
  <si>
    <t>一站式保障位</t>
  </si>
  <si>
    <t>备注</t>
  </si>
  <si>
    <t>YDZ05/YDZ06</t>
  </si>
  <si>
    <t>YDZ10/YDZ11</t>
  </si>
  <si>
    <t>YDZ05/YDZ06/YDZ07</t>
  </si>
  <si>
    <t>YDZ08/YDZ09</t>
  </si>
  <si>
    <t>ZKT20/ZKT21</t>
  </si>
  <si>
    <t>ZKT16/ZKT17</t>
  </si>
  <si>
    <t>ZKT17/ZKT18</t>
  </si>
  <si>
    <t>座舱空调</t>
  </si>
  <si>
    <t>设备舱空调</t>
  </si>
  <si>
    <t>ZKT07/ZKT09</t>
  </si>
  <si>
    <t>ZKT06/ZKT07</t>
  </si>
  <si>
    <t>JY02/JY09</t>
  </si>
  <si>
    <t>JY01/JY05</t>
  </si>
  <si>
    <t>JY08/JY09</t>
  </si>
  <si>
    <t>JY09/JY10</t>
  </si>
  <si>
    <t>JY03/JY12/JY13</t>
  </si>
  <si>
    <t>JY03/JY14</t>
  </si>
  <si>
    <t>JY14/JY15</t>
  </si>
  <si>
    <t>JY18/JY19</t>
  </si>
  <si>
    <t>JY03/JY13</t>
  </si>
  <si>
    <t>JY13/JY14</t>
  </si>
  <si>
    <t>JY14/JY15/JY16</t>
  </si>
  <si>
    <t>JY15/JY16</t>
  </si>
  <si>
    <t>JY17/JY18</t>
  </si>
  <si>
    <t>SKT04/SKT05</t>
  </si>
  <si>
    <t>SKT02/SKT03</t>
  </si>
  <si>
    <t>SKT19/SKT20</t>
  </si>
  <si>
    <t>SKT21/SKT22</t>
  </si>
  <si>
    <t>DQ07/DQ08</t>
  </si>
  <si>
    <t>DQ06/DQ07</t>
  </si>
  <si>
    <t>DQ04/DQ05</t>
  </si>
  <si>
    <t>DQ01/DQ05</t>
  </si>
  <si>
    <t>GD07G/GD08G/GD09G</t>
  </si>
  <si>
    <t>GD06G/GD07G/GD08G</t>
  </si>
  <si>
    <t>GD01G/GD02G/GD14G</t>
  </si>
  <si>
    <t>GD01G/GD08G/GD09G</t>
  </si>
  <si>
    <t>GD13G/GD14G</t>
  </si>
  <si>
    <t>GD15G/GD16G/GD17G</t>
  </si>
  <si>
    <t>GD16G/GD17G</t>
  </si>
  <si>
    <t>GD04G/GD17G/GD18G</t>
  </si>
  <si>
    <t>GD04G/GD18G/GD19G</t>
  </si>
  <si>
    <t>GD19G/GD20G</t>
  </si>
  <si>
    <t>GD19G/GD20G/GD21G</t>
  </si>
  <si>
    <t>GD24G/GD25G/GD26G</t>
  </si>
  <si>
    <t>GD25G/GD26G/GD27G/GD28G</t>
  </si>
  <si>
    <t>GD26G/GD27G/GD28G</t>
  </si>
  <si>
    <t>GD27G/GD28G</t>
  </si>
  <si>
    <t>GD04G/GD18G</t>
  </si>
  <si>
    <t>GD22G/GD23G</t>
  </si>
  <si>
    <t>GD23G/GD24G</t>
  </si>
  <si>
    <t>YQ04/GD05</t>
  </si>
  <si>
    <t>YQ01/GD02</t>
  </si>
  <si>
    <t>GD02</t>
  </si>
  <si>
    <t>GD05</t>
  </si>
  <si>
    <t>DQ04</t>
  </si>
  <si>
    <t>DQ07</t>
  </si>
  <si>
    <t>GD01G</t>
  </si>
  <si>
    <t>GD14G</t>
  </si>
  <si>
    <t>GD08G</t>
  </si>
  <si>
    <t>GD09G</t>
  </si>
  <si>
    <t>GD17G</t>
  </si>
  <si>
    <t>GD18G</t>
  </si>
  <si>
    <t>GD07G</t>
  </si>
  <si>
    <t>GD13G</t>
  </si>
  <si>
    <t>GD16G</t>
  </si>
  <si>
    <t>GD21G</t>
  </si>
  <si>
    <t>GD22G</t>
  </si>
  <si>
    <t>GD23G</t>
  </si>
  <si>
    <t>GD24G</t>
  </si>
  <si>
    <t>GD25G</t>
  </si>
  <si>
    <t>GD26G</t>
  </si>
  <si>
    <t>GD27G</t>
  </si>
  <si>
    <t>GD28G</t>
  </si>
  <si>
    <t>JY10</t>
  </si>
  <si>
    <t>JY11</t>
  </si>
  <si>
    <t>JY02</t>
  </si>
  <si>
    <t>JY13</t>
  </si>
  <si>
    <t>JY14</t>
  </si>
  <si>
    <t>JY07</t>
  </si>
  <si>
    <t>JY08</t>
  </si>
  <si>
    <t>JY15</t>
  </si>
  <si>
    <t>ZKT17</t>
  </si>
  <si>
    <t>ZKT18</t>
  </si>
  <si>
    <t>YDZ05</t>
  </si>
  <si>
    <t>YDZ06</t>
  </si>
  <si>
    <t>YDZ08</t>
  </si>
  <si>
    <t>YDZ09</t>
  </si>
  <si>
    <t>YDZ10</t>
  </si>
  <si>
    <t>YDZ11</t>
  </si>
  <si>
    <t>SKT19</t>
  </si>
  <si>
    <t>SKT21</t>
  </si>
  <si>
    <t>GD03G</t>
  </si>
  <si>
    <t>GD10G</t>
  </si>
  <si>
    <t>GD11G</t>
  </si>
  <si>
    <t>GD12G</t>
  </si>
  <si>
    <t>JY04</t>
  </si>
  <si>
    <t>ZKT10</t>
  </si>
  <si>
    <t>SKT10</t>
  </si>
  <si>
    <t>SKT17</t>
  </si>
  <si>
    <t>上级节点</t>
  </si>
  <si>
    <t>id</t>
  </si>
  <si>
    <t>uid</t>
  </si>
  <si>
    <t>k中取n</t>
  </si>
  <si>
    <t>指数分布</t>
  </si>
  <si>
    <t>初始布列停放机型</t>
  </si>
  <si>
    <t>可停机型</t>
  </si>
  <si>
    <t>F15/F35/E2D/Z20</t>
  </si>
  <si>
    <t>上级组织</t>
  </si>
  <si>
    <t>z01</t>
  </si>
  <si>
    <t>z02</t>
  </si>
  <si>
    <t>z03</t>
  </si>
  <si>
    <t>z04</t>
  </si>
  <si>
    <t>z05</t>
  </si>
  <si>
    <t>z06</t>
  </si>
  <si>
    <t>z07</t>
  </si>
  <si>
    <t>z08</t>
  </si>
  <si>
    <t>z09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</si>
  <si>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</si>
  <si>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</si>
  <si>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</si>
  <si>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</si>
  <si>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</si>
  <si>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</si>
  <si>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</si>
  <si>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</si>
  <si>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</si>
  <si>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</si>
  <si>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</si>
  <si>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</si>
  <si>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</si>
  <si>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</si>
  <si>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</si>
  <si>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</si>
  <si>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</si>
  <si>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</si>
  <si>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</si>
  <si>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</si>
  <si>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</si>
  <si>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</si>
  <si>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</si>
  <si>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</si>
  <si>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</si>
  <si>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</si>
  <si>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所属部门id</t>
  </si>
  <si>
    <t>PL10</t>
  </si>
  <si>
    <t>PL15</t>
  </si>
  <si>
    <t>FX-03</t>
  </si>
  <si>
    <t>紧前作业id</t>
  </si>
  <si>
    <t>F35-方案1-直接</t>
  </si>
  <si>
    <t>F35-方案1-飞行后</t>
  </si>
  <si>
    <t>F35-方案1-再次</t>
  </si>
  <si>
    <t>Z20方案1-直接</t>
  </si>
  <si>
    <t>Z20方案1-飞行后</t>
  </si>
  <si>
    <t>Z20方案1-再次</t>
  </si>
  <si>
    <t>E2D方案1</t>
  </si>
  <si>
    <t>E2D方案1-再次</t>
  </si>
  <si>
    <t>E2D方案1-直接</t>
  </si>
  <si>
    <t>E2D方案1-飞行后</t>
  </si>
  <si>
    <t>保障方案名称</t>
  </si>
  <si>
    <t>保障方案-按阶段</t>
  </si>
  <si>
    <t>作业id</t>
  </si>
  <si>
    <t>师</t>
  </si>
  <si>
    <t>员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</si>
  <si>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</si>
  <si>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</si>
  <si>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</si>
  <si>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</si>
  <si>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</si>
  <si>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</si>
  <si>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</si>
  <si>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</si>
  <si>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</si>
  <si>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</si>
  <si>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</si>
  <si>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</si>
  <si>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</si>
  <si>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</si>
  <si>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</si>
  <si>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</si>
  <si>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</si>
  <si>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</si>
  <si>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</si>
  <si>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</si>
  <si>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</si>
  <si>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</si>
  <si>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</si>
  <si>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</si>
  <si>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</si>
  <si>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</si>
  <si>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</si>
  <si>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</si>
  <si>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</si>
  <si>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</si>
  <si>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</si>
  <si>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</si>
  <si>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</si>
  <si>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</si>
  <si>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</si>
  <si>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</si>
  <si>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</si>
  <si>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</si>
  <si>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</si>
  <si>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</si>
  <si>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</si>
  <si>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</si>
  <si>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</si>
  <si>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</si>
  <si>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</si>
  <si>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</si>
  <si>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</si>
  <si>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</si>
  <si>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</si>
  <si>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</si>
  <si>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</si>
  <si>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</si>
  <si>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</si>
  <si>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j54</t>
  </si>
  <si>
    <t>j55</t>
  </si>
  <si>
    <t>j56</t>
  </si>
  <si>
    <t>j57</t>
  </si>
  <si>
    <t>j58</t>
  </si>
  <si>
    <t>j59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</si>
  <si>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</si>
  <si>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</si>
  <si>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</si>
  <si>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</si>
  <si>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</si>
  <si>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</si>
  <si>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</si>
  <si>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</si>
  <si>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</si>
  <si>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挂弹</t>
  </si>
  <si>
    <t>j69</t>
  </si>
  <si>
    <t>j70</t>
  </si>
  <si>
    <t>j71</t>
  </si>
  <si>
    <t>j72</t>
  </si>
  <si>
    <t>j73</t>
  </si>
  <si>
    <t>j74</t>
  </si>
  <si>
    <t>j75</t>
  </si>
  <si>
    <t>j76</t>
  </si>
  <si>
    <t>j77</t>
  </si>
  <si>
    <t>j78</t>
  </si>
  <si>
    <t>j79</t>
  </si>
  <si>
    <t>j80</t>
  </si>
  <si>
    <t>j81</t>
  </si>
  <si>
    <t>j82</t>
  </si>
  <si>
    <t>j83</t>
  </si>
  <si>
    <t>j84</t>
  </si>
  <si>
    <t>j85</t>
  </si>
  <si>
    <t>j86</t>
  </si>
  <si>
    <t>j87</t>
  </si>
  <si>
    <t>j88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</si>
  <si>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</si>
  <si>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</si>
  <si>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</si>
  <si>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</si>
  <si>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</si>
  <si>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</si>
  <si>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</si>
  <si>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</si>
  <si>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</si>
  <si>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</si>
  <si>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</si>
  <si>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</si>
  <si>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25小时周期性工作</t>
  </si>
  <si>
    <t>机械日维护</t>
  </si>
  <si>
    <t>工时(min)</t>
  </si>
  <si>
    <t>j101</t>
  </si>
  <si>
    <t>j102</t>
  </si>
  <si>
    <t>j103</t>
  </si>
  <si>
    <t>j104</t>
  </si>
  <si>
    <t>j105</t>
  </si>
  <si>
    <t>j106</t>
  </si>
  <si>
    <t>j107</t>
  </si>
  <si>
    <t>j108</t>
  </si>
  <si>
    <t>j109</t>
  </si>
  <si>
    <t>j110</t>
  </si>
  <si>
    <t>j111</t>
  </si>
  <si>
    <t>j112</t>
  </si>
  <si>
    <t>j113</t>
  </si>
  <si>
    <t>j114</t>
  </si>
  <si>
    <t>j115</t>
  </si>
  <si>
    <t>j116</t>
  </si>
  <si>
    <t>j117</t>
  </si>
  <si>
    <t>j118</t>
  </si>
  <si>
    <t>j119</t>
  </si>
  <si>
    <t>j120</t>
  </si>
  <si>
    <t>j121</t>
  </si>
  <si>
    <t>j122</t>
  </si>
  <si>
    <t>j123</t>
  </si>
  <si>
    <t>j124</t>
  </si>
  <si>
    <t>j125</t>
  </si>
  <si>
    <t>j126</t>
  </si>
  <si>
    <t>j127</t>
  </si>
  <si>
    <t>j128</t>
  </si>
  <si>
    <t>j129</t>
  </si>
  <si>
    <t>j130</t>
  </si>
  <si>
    <t>j131</t>
  </si>
  <si>
    <t>j132</t>
  </si>
  <si>
    <t>维修对象id</t>
  </si>
  <si>
    <t>REP-015</t>
  </si>
  <si>
    <t>REP-016</t>
  </si>
  <si>
    <t>REP-017</t>
  </si>
  <si>
    <t>REP-018</t>
  </si>
  <si>
    <t>REP-019</t>
  </si>
  <si>
    <t>打开通道</t>
  </si>
  <si>
    <t>更换后测试</t>
  </si>
  <si>
    <t>准备工具</t>
  </si>
  <si>
    <t>拆除故障件</t>
  </si>
  <si>
    <t>安装备件</t>
  </si>
  <si>
    <t>关闭通道</t>
  </si>
  <si>
    <t>REP-020</t>
  </si>
  <si>
    <t>REP-021</t>
  </si>
  <si>
    <t>REP-022</t>
  </si>
  <si>
    <t>REP-023</t>
  </si>
  <si>
    <t>REP-024</t>
  </si>
  <si>
    <t>更换故障件</t>
  </si>
  <si>
    <t>基本保障活动</t>
  </si>
  <si>
    <t>基本保障活动id</t>
  </si>
  <si>
    <t>航电师</t>
  </si>
  <si>
    <t>舰面保障组</t>
  </si>
  <si>
    <t>航电员</t>
  </si>
  <si>
    <t>机械师</t>
  </si>
  <si>
    <t>机械员</t>
  </si>
  <si>
    <t>军械师</t>
  </si>
  <si>
    <t>军械员</t>
  </si>
  <si>
    <t>特设师</t>
  </si>
  <si>
    <t>特设员</t>
  </si>
  <si>
    <t>声纳</t>
  </si>
  <si>
    <t>任务电子</t>
  </si>
  <si>
    <t>声纳师</t>
  </si>
  <si>
    <t>声纳员</t>
  </si>
  <si>
    <t>任务电子师</t>
  </si>
  <si>
    <t>任务电子员</t>
  </si>
  <si>
    <t>保障设施功能</t>
  </si>
  <si>
    <t>登机梯</t>
  </si>
  <si>
    <t>G/DJFT-1</t>
  </si>
  <si>
    <t>机下工作梯</t>
  </si>
  <si>
    <t>G/JXFT-1</t>
  </si>
  <si>
    <t>前起落架舱工作梯</t>
  </si>
  <si>
    <t>QQCT-1B</t>
  </si>
  <si>
    <t>发动机拆装托车</t>
  </si>
  <si>
    <t>F/FAC-3</t>
  </si>
  <si>
    <t>发电机传动装置拆装设备</t>
  </si>
  <si>
    <t>J15.9151.A.000.000</t>
  </si>
  <si>
    <t>外置附件机匣放油软管</t>
  </si>
  <si>
    <t>J15.9176.A.000.000</t>
  </si>
  <si>
    <t>发动机燃油和滑油排放软管</t>
  </si>
  <si>
    <t>J15.9188.A.000.000</t>
  </si>
  <si>
    <t>飞机机体蒙布</t>
  </si>
  <si>
    <t>J/JTMF-2</t>
  </si>
  <si>
    <t>进气道堵盖</t>
  </si>
  <si>
    <t>J/JDHF-1</t>
  </si>
  <si>
    <t>组合式充气检压装置</t>
  </si>
  <si>
    <t>J/ZHTZ-1</t>
  </si>
  <si>
    <t>飞机主千斤顶</t>
  </si>
  <si>
    <t>J/ZZD-5</t>
  </si>
  <si>
    <t>飞机前千斤顶</t>
  </si>
  <si>
    <t>J/QZD-5A</t>
  </si>
  <si>
    <t>主机轮千斤顶</t>
  </si>
  <si>
    <t>ZQJD11-1A</t>
  </si>
  <si>
    <t>更换前起落架机轮设备</t>
  </si>
  <si>
    <t>GQJS-1</t>
  </si>
  <si>
    <t>缓冲支柱注油设备</t>
  </si>
  <si>
    <t>HZZS-1A</t>
  </si>
  <si>
    <t>滑油注油设备</t>
  </si>
  <si>
    <t>HYZS-1A</t>
  </si>
  <si>
    <t>起落架轮载及收放信号模拟器</t>
  </si>
  <si>
    <t>B/QMQ-2A</t>
  </si>
  <si>
    <t>滑油压力计</t>
  </si>
  <si>
    <t>FZD.01.YLJ</t>
  </si>
  <si>
    <t>外置机匣振动检查仪</t>
  </si>
  <si>
    <t>WZY-1</t>
  </si>
  <si>
    <t>组合式气密性检查装置</t>
  </si>
  <si>
    <t>J/QMSZ-1</t>
  </si>
  <si>
    <t>轴承噪音检测仪</t>
  </si>
  <si>
    <t>ВАДИМ</t>
  </si>
  <si>
    <t>九级篦齿盘均压孔涡流探伤设备</t>
  </si>
  <si>
    <t>BWTS-1</t>
  </si>
  <si>
    <t>轮挡</t>
  </si>
  <si>
    <t>Q/J11-0015</t>
  </si>
  <si>
    <t>飞机/发动机综合测试设备</t>
  </si>
  <si>
    <t>J/JFSS-1/1</t>
  </si>
  <si>
    <t>机上工作安全带</t>
  </si>
  <si>
    <t>J/GZHZ-1</t>
  </si>
  <si>
    <t>飞机液压刹车系统检查装置</t>
  </si>
  <si>
    <t>Y/YJSZ-2</t>
  </si>
  <si>
    <t>机内外通话器</t>
  </si>
  <si>
    <t>THQ-1B</t>
  </si>
  <si>
    <t>减速板支撑杆</t>
  </si>
  <si>
    <t>F/JSZG-1</t>
  </si>
  <si>
    <t>座舱盖液压系统注油软管</t>
  </si>
  <si>
    <t>K/ZGZY-1</t>
  </si>
  <si>
    <t>飞机轮胎压力检查装置</t>
  </si>
  <si>
    <t>Q/LYSZ-1</t>
  </si>
  <si>
    <t>飞机系留索</t>
  </si>
  <si>
    <t>J/FJXZ-1</t>
  </si>
  <si>
    <t>钢索张力计</t>
  </si>
  <si>
    <t>T5-2002-101-00</t>
  </si>
  <si>
    <t>万用表</t>
  </si>
  <si>
    <t>Fluke233</t>
  </si>
  <si>
    <t>30-4航炮组件贮运箱</t>
  </si>
  <si>
    <t>J15.9903.A.000.000</t>
  </si>
  <si>
    <t>电动挂弹车</t>
  </si>
  <si>
    <t>W/DDZC-1A</t>
  </si>
  <si>
    <t>抛放弹检查仪</t>
  </si>
  <si>
    <t>W/PFSY-1</t>
  </si>
  <si>
    <t>大气数据测控仪</t>
  </si>
  <si>
    <t>ADTS203D-1</t>
  </si>
  <si>
    <t>涡轮起动机调节片检测电缆</t>
  </si>
  <si>
    <t>WQJD-1A</t>
  </si>
  <si>
    <t>飞控系统检测仪</t>
  </si>
  <si>
    <t>B/FKCSY-2</t>
  </si>
  <si>
    <t>角规夹具</t>
  </si>
  <si>
    <t>SGGJ15-2A</t>
  </si>
  <si>
    <t>氧气设备检测仪</t>
  </si>
  <si>
    <t>YS-4C</t>
  </si>
  <si>
    <t>数据管理记录分系统外场检测处理机</t>
  </si>
  <si>
    <t>FWJ-15T</t>
  </si>
  <si>
    <t>驾驶员操纵装置检查仪</t>
  </si>
  <si>
    <t>B/CZCSY-2</t>
  </si>
  <si>
    <t>氧气排放设备</t>
  </si>
  <si>
    <t>S/YQTS-1</t>
  </si>
  <si>
    <t>通信识别外场检查仪</t>
  </si>
  <si>
    <t>B/TXCSY-1</t>
  </si>
  <si>
    <t>导航外场检查仪</t>
  </si>
  <si>
    <t>B/DHCSY-1/1</t>
  </si>
  <si>
    <t>注油枪（黑油、白油）</t>
  </si>
  <si>
    <t>旋翼液压阻尼器注油枪（含卡簧钳）</t>
  </si>
  <si>
    <t>应急移动电源</t>
  </si>
  <si>
    <t>折叠辅助系统</t>
  </si>
  <si>
    <t>综合武器模拟器+电源</t>
  </si>
  <si>
    <t>测振设备</t>
  </si>
  <si>
    <t>军械设备包</t>
  </si>
  <si>
    <t>振动信号分析仪</t>
  </si>
  <si>
    <t>液压工具箱</t>
  </si>
  <si>
    <t>操纵工具箱</t>
  </si>
  <si>
    <t>声纳信号模拟器</t>
  </si>
  <si>
    <t>水下分机模拟器</t>
  </si>
  <si>
    <t>舵机静态测试仪</t>
  </si>
  <si>
    <t>飞参判读设备</t>
  </si>
  <si>
    <t>FWJ-20飞参外场检测设备</t>
  </si>
  <si>
    <t>污水处理车</t>
  </si>
  <si>
    <t>清水车</t>
  </si>
  <si>
    <t>铜索天线拆装工具</t>
  </si>
  <si>
    <t>测试电脑</t>
  </si>
  <si>
    <t>数字万用表</t>
  </si>
  <si>
    <t>880负载板</t>
  </si>
  <si>
    <t>雷达信号模拟器（RM-6BG）</t>
  </si>
  <si>
    <t>手持式频谱仪(含N转SMA接口及测试高频线)</t>
  </si>
  <si>
    <t>DOME梯</t>
  </si>
  <si>
    <t>891时间同步仪</t>
  </si>
  <si>
    <t>保险柜</t>
  </si>
  <si>
    <t>各专业随机工具箱（含仪表氧气工具箱）</t>
  </si>
  <si>
    <t>发动机工具箱</t>
  </si>
  <si>
    <t>86件世达工具</t>
  </si>
  <si>
    <t>轮胎压力表</t>
  </si>
  <si>
    <t>注油枪</t>
  </si>
  <si>
    <t>28V直流电缆</t>
  </si>
  <si>
    <t>机背梯</t>
  </si>
  <si>
    <t>简易登机梯</t>
  </si>
  <si>
    <t>8号线</t>
  </si>
  <si>
    <t>防爆手电</t>
  </si>
  <si>
    <t>电动解刀</t>
  </si>
  <si>
    <t>液压油取样器</t>
  </si>
  <si>
    <t>冲击解刀</t>
  </si>
  <si>
    <t>信号枪专用扳手</t>
  </si>
  <si>
    <t>四方油盒</t>
  </si>
  <si>
    <t>发动机备件箱</t>
  </si>
  <si>
    <t>小发工具袋</t>
  </si>
  <si>
    <t>小发备件箱</t>
  </si>
  <si>
    <t>系留带、绳索</t>
  </si>
  <si>
    <t>防台捆绑绳索</t>
  </si>
  <si>
    <t>拆桨帽工具</t>
  </si>
  <si>
    <t>放油导管</t>
  </si>
  <si>
    <t>放油直头</t>
  </si>
  <si>
    <t>滑油加油壶</t>
  </si>
  <si>
    <t>机轮千斤顶</t>
  </si>
  <si>
    <t>照明灯箱组</t>
  </si>
  <si>
    <t>着陆灯拆装扳手</t>
  </si>
  <si>
    <t>尾撑</t>
  </si>
  <si>
    <t>各种堵塞、套布</t>
  </si>
  <si>
    <t>20GNC28B型航空蓄电池</t>
  </si>
  <si>
    <t>轮胎拆卸工具</t>
  </si>
  <si>
    <t>200N定力扳手</t>
  </si>
  <si>
    <t>发动机工作梯</t>
  </si>
  <si>
    <t>液压升降梯</t>
  </si>
  <si>
    <t>[YJ83:4,PL10:6,PL12:8,PL16B:8,YJ15:4]</t>
  </si>
  <si>
    <t>保障设备数量</t>
  </si>
  <si>
    <t>保障设备</t>
  </si>
  <si>
    <t>设备-型号</t>
  </si>
  <si>
    <t>挂弹车</t>
  </si>
  <si>
    <t>辆</t>
  </si>
  <si>
    <t>牵引车</t>
  </si>
  <si>
    <t>电源车</t>
  </si>
  <si>
    <t>惯导车</t>
  </si>
  <si>
    <t>装退弹工具</t>
  </si>
  <si>
    <t>装退弹工具和保险销</t>
  </si>
  <si>
    <t xml:space="preserve">地勤帽DM-3 </t>
  </si>
  <si>
    <t>供氧车</t>
  </si>
  <si>
    <t>个</t>
  </si>
  <si>
    <t>质检组</t>
  </si>
  <si>
    <t>间隙异物组</t>
  </si>
  <si>
    <t>转运组</t>
  </si>
  <si>
    <t>[YU7:2,H1:8]</t>
  </si>
  <si>
    <t>对海任务</t>
  </si>
  <si>
    <t>护航任务</t>
  </si>
  <si>
    <t>搜救支援任务</t>
  </si>
  <si>
    <t>预警任务</t>
  </si>
  <si>
    <t>高强度出动剖面</t>
  </si>
  <si>
    <t>F35-SC-1</t>
  </si>
  <si>
    <t>F35-SC-2</t>
  </si>
  <si>
    <t>F35-AS-A</t>
  </si>
  <si>
    <t>F35-AS-B</t>
  </si>
  <si>
    <t>F35-AS-C</t>
  </si>
  <si>
    <t>F15-AS-A</t>
  </si>
  <si>
    <t>F15-AS-B</t>
  </si>
  <si>
    <t>F15-AS-C</t>
  </si>
  <si>
    <t>E2D-W1</t>
  </si>
  <si>
    <t>E2D-W2</t>
  </si>
  <si>
    <t>Z-W1</t>
  </si>
  <si>
    <t>Z-W2</t>
  </si>
  <si>
    <t>F35-01</t>
  </si>
  <si>
    <t>F35-02</t>
  </si>
  <si>
    <t>F35-03</t>
  </si>
  <si>
    <t>F35-04</t>
  </si>
  <si>
    <t>F35-05</t>
  </si>
  <si>
    <t>F35-06</t>
  </si>
  <si>
    <t>F35-07</t>
  </si>
  <si>
    <t>F35-08</t>
  </si>
  <si>
    <t>F35-09</t>
  </si>
  <si>
    <t>F35-10</t>
  </si>
  <si>
    <t>F35-11</t>
  </si>
  <si>
    <t>F35-12</t>
  </si>
  <si>
    <t>F35-13</t>
  </si>
  <si>
    <t>F35-14</t>
  </si>
  <si>
    <t>F35-15</t>
  </si>
  <si>
    <t>F35-16</t>
  </si>
  <si>
    <t>F35-17</t>
  </si>
  <si>
    <t>F35-18</t>
  </si>
  <si>
    <t>F35-19</t>
  </si>
  <si>
    <t>F35-20</t>
  </si>
  <si>
    <t>F35-21</t>
  </si>
  <si>
    <t>F35-22</t>
  </si>
  <si>
    <t>F35-23</t>
  </si>
  <si>
    <t>F35-24</t>
  </si>
  <si>
    <t>Z20-01</t>
  </si>
  <si>
    <t>Z20-02</t>
  </si>
  <si>
    <t>Z20-03</t>
  </si>
  <si>
    <t>Z20-04</t>
  </si>
  <si>
    <t>Z20-05</t>
  </si>
  <si>
    <t>F15-01</t>
  </si>
  <si>
    <t>F15-02</t>
  </si>
  <si>
    <t>F15-03</t>
  </si>
  <si>
    <t>F15-04</t>
  </si>
  <si>
    <t>F15-05</t>
  </si>
  <si>
    <t>F15-06</t>
  </si>
  <si>
    <t>F15-07</t>
  </si>
  <si>
    <t>F15-08</t>
  </si>
  <si>
    <t>E2D-01</t>
  </si>
  <si>
    <t>E2D-02</t>
  </si>
  <si>
    <t>E2D-03</t>
  </si>
  <si>
    <t>E2D-04</t>
  </si>
  <si>
    <t>F35-01,F35-02,F35-03,F35-04,F35-05,F35-06</t>
  </si>
  <si>
    <t>F15-01,F15-02</t>
  </si>
  <si>
    <t>F35-07,F35-08,F35-09,F35-10,F35-11,F35-12</t>
  </si>
  <si>
    <t>F15-03,F15-04</t>
  </si>
  <si>
    <t>F35-13,F35-14,F35-15,F35-16,F35-17,F35-18</t>
  </si>
  <si>
    <t>F15-05,F15-06</t>
  </si>
  <si>
    <t>F35-19,F35-20</t>
  </si>
  <si>
    <t>F35-21,F35-22</t>
  </si>
  <si>
    <t>F35-写卡</t>
  </si>
  <si>
    <t>F35-外观检查</t>
  </si>
  <si>
    <t>F35-接通空调</t>
  </si>
  <si>
    <t>F35-装干扰弹</t>
  </si>
  <si>
    <t>F35-挂弹</t>
  </si>
  <si>
    <t>F35-接通电缆</t>
  </si>
  <si>
    <t>F35-加载数据</t>
  </si>
  <si>
    <t>F35-通电</t>
  </si>
  <si>
    <t>F35-挂载武器通电</t>
  </si>
  <si>
    <t>F35-氧气充填</t>
  </si>
  <si>
    <t>F35-氮气充填</t>
  </si>
  <si>
    <t>F35-燃油充填</t>
  </si>
  <si>
    <t>F35-滑油检查</t>
  </si>
  <si>
    <t>F35-流道检查</t>
  </si>
  <si>
    <t>F35-暖机电传</t>
  </si>
  <si>
    <t>F35-拔座舱内保险</t>
  </si>
  <si>
    <t>F35-拔起落架下位锁保险销</t>
  </si>
  <si>
    <t>F35-惯导</t>
  </si>
  <si>
    <t>F35-拔水上漂浮记录器保险</t>
  </si>
  <si>
    <t>F35-文件填写</t>
  </si>
  <si>
    <t>F35-清点工用具</t>
  </si>
  <si>
    <t>F35-间隙异物排查</t>
  </si>
  <si>
    <t>F35-暖机开车滑出</t>
  </si>
  <si>
    <t>F35-资源撤收</t>
  </si>
  <si>
    <t>F35-放飞流程</t>
  </si>
  <si>
    <t>F35-关车系留</t>
  </si>
  <si>
    <t>F35-通电检查</t>
  </si>
  <si>
    <t>F35-座椅通电</t>
  </si>
  <si>
    <t>F35-机械外观检查</t>
  </si>
  <si>
    <t>F35-插座舱内保险</t>
  </si>
  <si>
    <t>F35-插起落架下位锁保险销</t>
  </si>
  <si>
    <t>F35-退弹</t>
  </si>
  <si>
    <t>F35-插水上记录漂浮记录保险</t>
  </si>
  <si>
    <t>F35-关闭发动机补养开关</t>
  </si>
  <si>
    <t>F35-插空速管保护套、风标保护套</t>
  </si>
  <si>
    <t>F35-归还敌我识别卡</t>
  </si>
  <si>
    <t>F35-更换数据加载卡</t>
  </si>
  <si>
    <t>F15-写卡</t>
  </si>
  <si>
    <t>F15-外观检查</t>
  </si>
  <si>
    <t>F15-接通空调</t>
  </si>
  <si>
    <t>F15-装干扰弹</t>
  </si>
  <si>
    <t>F15-挂弹</t>
  </si>
  <si>
    <t>F15-接通电缆</t>
  </si>
  <si>
    <t>F15-加载数据</t>
  </si>
  <si>
    <t>F15-通电</t>
  </si>
  <si>
    <t>F15-挂载武器通电</t>
  </si>
  <si>
    <t>F15-氧气充填</t>
  </si>
  <si>
    <t>F15-氮气充填</t>
  </si>
  <si>
    <t>F15-燃油充填</t>
  </si>
  <si>
    <t>F15-滑油检查</t>
  </si>
  <si>
    <t>F15-流道检查</t>
  </si>
  <si>
    <t>F15-暖机电传</t>
  </si>
  <si>
    <t>F15-拔座舱内保险</t>
  </si>
  <si>
    <t>F15-拔起落架下位锁保险销</t>
  </si>
  <si>
    <t>F15-惯导</t>
  </si>
  <si>
    <t>F15-拔水上漂浮记录器保险</t>
  </si>
  <si>
    <t>F15-文件填写</t>
  </si>
  <si>
    <t>F15-清点工用具</t>
  </si>
  <si>
    <t>F15-间隙异物排查</t>
  </si>
  <si>
    <t>F15-暖机开车滑出</t>
  </si>
  <si>
    <t>F15-资源撤收</t>
  </si>
  <si>
    <t>F15-放飞流程</t>
  </si>
  <si>
    <t>F15-关车系留</t>
  </si>
  <si>
    <t>F15-通电检查</t>
  </si>
  <si>
    <t>F15-座椅通电</t>
  </si>
  <si>
    <t>F15-机械外观检查</t>
  </si>
  <si>
    <t>F15-插座舱内保险</t>
  </si>
  <si>
    <t>F15-插起落架下位锁保险销</t>
  </si>
  <si>
    <t>F15-退弹</t>
  </si>
  <si>
    <t>F15-插水上记录漂浮记录保险</t>
  </si>
  <si>
    <t>F15-关闭发动机补养开关</t>
  </si>
  <si>
    <t>F15-插空速管保护套、风标保护套</t>
  </si>
  <si>
    <t>F15-归还敌我识别卡</t>
  </si>
  <si>
    <t>F15-更换数据加载卡</t>
  </si>
  <si>
    <t>E2D-异物排查</t>
  </si>
  <si>
    <t>E2D-展开机翼</t>
  </si>
  <si>
    <t>E2D-加添燃油至飞行计划规定油量</t>
  </si>
  <si>
    <t>E2D-检查发动机，视情加添滑油</t>
  </si>
  <si>
    <t>E2D-检查并视情给各液压系统平衡油量、给右蓄压瓶增压</t>
  </si>
  <si>
    <t>E2D-按路线检查飞机，并收起接地线（机械收）</t>
  </si>
  <si>
    <t>E2D-接通外部电源</t>
  </si>
  <si>
    <t>E2D-飞控、照明、通电自检</t>
  </si>
  <si>
    <t>E2D-对惯导</t>
  </si>
  <si>
    <t>E2D-检查各电门、按钮是否在规定位置</t>
  </si>
  <si>
    <t>E2D-断开外部电源</t>
  </si>
  <si>
    <t>E2D-安装信号弹、干扰弹</t>
  </si>
  <si>
    <t>E2D-写卡</t>
  </si>
  <si>
    <t>E2D-航电系统通电检查</t>
  </si>
  <si>
    <t>E2D-加装任务数据模块</t>
  </si>
  <si>
    <t>E2D-任务系统通电检查</t>
  </si>
  <si>
    <t>E2D-间隙异物排查</t>
  </si>
  <si>
    <t>E2D-暖机开车滑出</t>
  </si>
  <si>
    <t>E2D-资源撤收</t>
  </si>
  <si>
    <t>E2D-放飞流程</t>
  </si>
  <si>
    <t>E2D-加添燃油至规定的停机加油量</t>
  </si>
  <si>
    <t>E2D-涂油润滑起落架缓冲支柱光洁面</t>
  </si>
  <si>
    <t>E2D-按路线检查飞机_飞行后</t>
  </si>
  <si>
    <t>E2D-折叠机翼并涂油润滑活动关节处</t>
  </si>
  <si>
    <t>E2D-取卡</t>
  </si>
  <si>
    <t>E2D-卸下信号弹、干扰弹</t>
  </si>
  <si>
    <t>E2D-堵堵头、盖蒙布</t>
  </si>
  <si>
    <t>Z20-异物排查</t>
  </si>
  <si>
    <t>Z20-机械外观检查</t>
  </si>
  <si>
    <t>Z20-接电源</t>
  </si>
  <si>
    <t>Z20-补燃油(压力加油)</t>
  </si>
  <si>
    <t>Z20-启动液压电动泵，旋翼、尾梁展开</t>
  </si>
  <si>
    <t>Z20-特设通电检查</t>
  </si>
  <si>
    <t>Z20-航电系统上电自检</t>
  </si>
  <si>
    <t>Z20-航电数据加载、应答机校时</t>
  </si>
  <si>
    <t>Z20-惯导对准</t>
  </si>
  <si>
    <t>Z20-电台密钥数据加载</t>
  </si>
  <si>
    <t>Z20-声纳任务系统通电检查</t>
  </si>
  <si>
    <t>Z20-声纳任务系统数据加载</t>
  </si>
  <si>
    <t>Z20-根据飞行任务装挂航空弹药</t>
  </si>
  <si>
    <t>Z20-装填干扰弹（按需）</t>
  </si>
  <si>
    <t>Z20-根据飞行任务装挂声纳/浮标</t>
  </si>
  <si>
    <t>Z20-基本航电数据下载</t>
  </si>
  <si>
    <t>Z20-飞参数据下载</t>
  </si>
  <si>
    <t>Z20-机械外观检查_飞行后</t>
  </si>
  <si>
    <t>Z20-归还敌我识别卡</t>
  </si>
  <si>
    <t>Z20-启动液压电动泵，旋翼、尾梁收回</t>
  </si>
  <si>
    <t>Z20-卸弹</t>
  </si>
  <si>
    <t>Z20-清洗发动机</t>
  </si>
  <si>
    <t>F35-接通空调-再次</t>
  </si>
  <si>
    <t>F35-通电检查-再次</t>
  </si>
  <si>
    <t>F35-外观检查-飞行后</t>
  </si>
  <si>
    <t>F15-接通空调-再次</t>
  </si>
  <si>
    <t>F15-通电检查-再次</t>
  </si>
  <si>
    <t>F15-外观检查-飞行后</t>
  </si>
  <si>
    <t>YJ83</t>
  </si>
  <si>
    <t>PL16B</t>
  </si>
  <si>
    <t>YJ15</t>
  </si>
  <si>
    <t>PL12</t>
  </si>
  <si>
    <t>YU7</t>
  </si>
  <si>
    <t>H1</t>
  </si>
  <si>
    <t>JY10/JY11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</si>
</sst>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17">
    <font>
      <sz val="11"/>
      <color theme="1"/>
      <name val="Calibri"/>
      <charset val="134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</font>
    <font>
      <b/>
      <sz val="11"/>
      <color rgb="FFFFFFFF"/>
      <name val="Calibri"/>
      <family val="2"/>
    </font>
    <font>
      <sz val="10.5"/>
      <color theme="1"/>
      <name val="黑体"/>
      <family val="3"/>
      <charset val="134"/>
    </font>
    <font>
      <sz val="12"/>
      <name val="宋体"/>
      <family val="3"/>
      <charset val="134"/>
    </font>
    <font>
      <sz val="11"/>
      <name val="Calibri"/>
      <family val="3"/>
      <charset val="134"/>
      <scheme val="minor"/>
    </font>
    <font>
      <sz val="11"/>
      <color indexed="8"/>
      <name val="宋体"/>
      <charset val="134"/>
    </font>
    <font>
      <sz val="10.5"/>
      <color rgb="FF000000"/>
      <name val="Calibri"/>
      <family val="2"/>
      <scheme val="minor"/>
    </font>
    <font>
      <sz val="12"/>
      <name val="Calibri"/>
      <family val="2"/>
      <scheme val="minor"/>
    </font>
    <font>
      <sz val="10.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 style="thin">
        <color rgb="FFD9E2EC"/>
      </right>
      <top/>
      <bottom/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9" fillId="0" borderId="0">
      <alignment vertical="center"/>
    </xf>
  </cellStyleXfs>
  <cellXfs count="52">
    <xf numFmtId="0" fontId="0" fillId="0" borderId="0" xfId="0" applyAlignment="1"/>
    <xf numFmtId="0" fontId="1" fillId="2" borderId="1" xfId="1" applyFont="1" applyFill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justify" vertical="center" wrapText="1"/>
    </xf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1" applyFont="1" applyAlignment="1">
      <alignment vertical="center" wrapText="1"/>
    </xf>
    <xf numFmtId="0" fontId="3" fillId="0" borderId="0" xfId="0" applyFont="1" applyAlignment="1"/>
    <xf numFmtId="0" fontId="6" fillId="0" borderId="0" xfId="0" applyFont="1" applyAlignment="1">
      <alignment horizontal="justify" vertical="center" wrapText="1"/>
    </xf>
    <xf numFmtId="0" fontId="1" fillId="2" borderId="0" xfId="1" applyFont="1" applyFill="1" applyAlignment="1">
      <alignment horizontal="center" vertical="center" wrapText="1"/>
    </xf>
    <xf numFmtId="0" fontId="2" fillId="0" borderId="0" xfId="1" applyAlignment="1">
      <alignment vertical="center" wrapText="1"/>
    </xf>
    <xf numFmtId="164" fontId="2" fillId="0" borderId="1" xfId="1" applyNumberFormat="1" applyBorder="1" applyAlignment="1">
      <alignment vertical="center" wrapText="1"/>
    </xf>
    <xf numFmtId="0" fontId="2" fillId="0" borderId="3" xfId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" fillId="3" borderId="1" xfId="1" applyFill="1" applyBorder="1" applyAlignment="1">
      <alignment vertical="center" wrapText="1"/>
    </xf>
    <xf numFmtId="0" fontId="2" fillId="0" borderId="4" xfId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2" fillId="0" borderId="6" xfId="1" applyBorder="1" applyAlignment="1">
      <alignment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5" xfId="1" applyBorder="1" applyAlignment="1">
      <alignment vertical="center" wrapText="1"/>
    </xf>
    <xf numFmtId="0" fontId="2" fillId="0" borderId="7" xfId="1" applyBorder="1" applyAlignment="1">
      <alignment vertical="center" wrapText="1"/>
    </xf>
    <xf numFmtId="0" fontId="3" fillId="0" borderId="6" xfId="1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13" fillId="2" borderId="0" xfId="1" applyFont="1" applyFill="1" applyAlignment="1">
      <alignment horizontal="center" vertical="center" wrapText="1"/>
    </xf>
    <xf numFmtId="0" fontId="14" fillId="0" borderId="0" xfId="1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14" fillId="0" borderId="0" xfId="0" applyFont="1" applyAlignment="1"/>
    <xf numFmtId="0" fontId="14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20" fontId="2" fillId="0" borderId="1" xfId="1" applyNumberFormat="1" applyBorder="1" applyAlignment="1">
      <alignment vertical="center" wrapText="1"/>
    </xf>
    <xf numFmtId="20" fontId="0" fillId="0" borderId="0" xfId="0" applyNumberFormat="1" applyAlignment="1"/>
    <xf numFmtId="0" fontId="16" fillId="0" borderId="1" xfId="0" applyFont="1" applyBorder="1" applyAlignment="1">
      <alignment vertical="center" wrapText="1"/>
    </xf>
    <xf numFmtId="0" fontId="2" fillId="0" borderId="0" xfId="0" applyFont="1" applyAlignment="1"/>
    <xf numFmtId="0" fontId="2" fillId="0" borderId="0" xfId="0" applyFont="1">
      <alignment vertical="center"/>
    </xf>
  </cellXfs>
  <cellStyles count="3">
    <cellStyle name="Normal" xfId="0" builtinId="0"/>
    <cellStyle name="Normal 2" xfId="1" xr:uid="{00000000-0005-0000-0000-000031000000}"/>
    <cellStyle name="常规 2" xfId="2" xr:uid="{FDD325DA-71B7-BF4C-BBF3-88D089C778F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211" workbookViewId="0"/>
  </sheetViews>
  <sheetFormatPr baseColWidth="10" defaultColWidth="9.5" defaultRowHeight="15"/>
  <cols>
    <col min="1" max="2" width="10" customWidth="1"/>
  </cols>
  <sheetData>
    <row r="1" spans="1:2" ht="16">
      <c r="A1" s="1" t="s">
        <v>0</v>
      </c>
      <c r="B1" s="1" t="s">
        <v>1</v>
      </c>
    </row>
    <row r="2" spans="1:2" ht="16">
      <c r="A2" s="2"/>
      <c r="B2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zoomScale="139" workbookViewId="0">
      <selection activeCell="A47" sqref="A47:XFD51"/>
    </sheetView>
  </sheetViews>
  <sheetFormatPr baseColWidth="10" defaultColWidth="9.5" defaultRowHeight="15"/>
  <cols>
    <col min="1" max="1" width="10" customWidth="1"/>
    <col min="2" max="2" width="12" customWidth="1"/>
    <col min="3" max="3" width="15.1640625" customWidth="1"/>
    <col min="4" max="4" width="9.83203125" customWidth="1"/>
    <col min="5" max="5" width="11" customWidth="1"/>
  </cols>
  <sheetData>
    <row r="1" spans="1:8" ht="32">
      <c r="A1" s="1" t="s">
        <v>3</v>
      </c>
      <c r="B1" s="1" t="s">
        <v>4</v>
      </c>
      <c r="C1" s="4" t="s">
        <v>475</v>
      </c>
      <c r="D1" s="4" t="s">
        <v>474</v>
      </c>
      <c r="E1" s="4" t="s">
        <v>472</v>
      </c>
      <c r="F1" s="4" t="s">
        <v>473</v>
      </c>
      <c r="G1" s="4" t="s">
        <v>581</v>
      </c>
      <c r="H1" s="4" t="s">
        <v>582</v>
      </c>
    </row>
    <row r="2" spans="1:8" ht="16">
      <c r="A2" s="6" t="s">
        <v>341</v>
      </c>
      <c r="B2" s="6" t="s">
        <v>341</v>
      </c>
      <c r="D2">
        <v>1</v>
      </c>
      <c r="E2">
        <v>1</v>
      </c>
      <c r="F2">
        <v>1</v>
      </c>
      <c r="G2" s="3" t="s">
        <v>338</v>
      </c>
      <c r="H2" s="9" t="s">
        <v>583</v>
      </c>
    </row>
    <row r="3" spans="1:8" ht="16">
      <c r="A3" s="6" t="s">
        <v>342</v>
      </c>
      <c r="B3" s="6" t="s">
        <v>342</v>
      </c>
      <c r="D3">
        <v>1</v>
      </c>
      <c r="E3">
        <v>1</v>
      </c>
      <c r="F3">
        <v>1</v>
      </c>
      <c r="G3" s="3" t="s">
        <v>338</v>
      </c>
      <c r="H3" s="9" t="s">
        <v>583</v>
      </c>
    </row>
    <row r="4" spans="1:8" ht="16">
      <c r="A4" s="6" t="s">
        <v>343</v>
      </c>
      <c r="B4" s="6" t="s">
        <v>343</v>
      </c>
      <c r="D4">
        <v>1</v>
      </c>
      <c r="E4">
        <v>1</v>
      </c>
      <c r="F4">
        <v>1</v>
      </c>
      <c r="G4" s="3" t="s">
        <v>338</v>
      </c>
      <c r="H4" s="9" t="s">
        <v>583</v>
      </c>
    </row>
    <row r="5" spans="1:8" ht="16">
      <c r="A5" s="6" t="s">
        <v>344</v>
      </c>
      <c r="B5" s="6" t="s">
        <v>344</v>
      </c>
      <c r="D5">
        <v>1</v>
      </c>
      <c r="E5">
        <v>1</v>
      </c>
      <c r="F5">
        <v>1</v>
      </c>
      <c r="G5" s="3" t="s">
        <v>338</v>
      </c>
      <c r="H5" s="9" t="s">
        <v>583</v>
      </c>
    </row>
    <row r="6" spans="1:8" ht="16">
      <c r="A6" s="6" t="s">
        <v>345</v>
      </c>
      <c r="B6" s="6" t="s">
        <v>345</v>
      </c>
      <c r="D6">
        <v>1</v>
      </c>
      <c r="E6">
        <v>1</v>
      </c>
      <c r="F6">
        <v>1</v>
      </c>
      <c r="G6" s="3" t="s">
        <v>338</v>
      </c>
      <c r="H6" s="9" t="s">
        <v>583</v>
      </c>
    </row>
    <row r="7" spans="1:8" ht="16">
      <c r="A7" s="6" t="s">
        <v>346</v>
      </c>
      <c r="B7" s="6" t="s">
        <v>346</v>
      </c>
      <c r="D7">
        <v>1</v>
      </c>
      <c r="E7">
        <v>1</v>
      </c>
      <c r="F7">
        <v>1</v>
      </c>
      <c r="G7" s="3" t="s">
        <v>338</v>
      </c>
      <c r="H7" s="9" t="s">
        <v>583</v>
      </c>
    </row>
    <row r="8" spans="1:8" ht="16">
      <c r="A8" s="6" t="s">
        <v>347</v>
      </c>
      <c r="B8" s="6" t="s">
        <v>347</v>
      </c>
      <c r="D8">
        <v>1</v>
      </c>
      <c r="E8">
        <v>1</v>
      </c>
      <c r="F8">
        <v>1</v>
      </c>
      <c r="G8" s="3" t="s">
        <v>338</v>
      </c>
      <c r="H8" s="9" t="s">
        <v>583</v>
      </c>
    </row>
    <row r="9" spans="1:8" ht="16">
      <c r="A9" s="6" t="s">
        <v>348</v>
      </c>
      <c r="B9" s="6" t="s">
        <v>348</v>
      </c>
      <c r="D9">
        <v>1</v>
      </c>
      <c r="E9">
        <v>1</v>
      </c>
      <c r="F9">
        <v>1</v>
      </c>
      <c r="G9" s="3" t="s">
        <v>338</v>
      </c>
      <c r="H9" s="9" t="s">
        <v>583</v>
      </c>
    </row>
    <row r="10" spans="1:8" ht="16">
      <c r="A10" s="6" t="s">
        <v>349</v>
      </c>
      <c r="B10" s="6" t="s">
        <v>349</v>
      </c>
      <c r="D10">
        <v>1</v>
      </c>
      <c r="E10">
        <v>1</v>
      </c>
      <c r="F10">
        <v>1</v>
      </c>
      <c r="G10" s="3" t="s">
        <v>338</v>
      </c>
      <c r="H10" s="9" t="s">
        <v>583</v>
      </c>
    </row>
    <row r="11" spans="1:8" ht="16">
      <c r="A11" s="6" t="s">
        <v>350</v>
      </c>
      <c r="B11" s="6" t="s">
        <v>350</v>
      </c>
      <c r="D11">
        <v>1</v>
      </c>
      <c r="E11">
        <v>1</v>
      </c>
      <c r="F11">
        <v>1</v>
      </c>
      <c r="G11" s="3" t="s">
        <v>338</v>
      </c>
      <c r="H11" s="9" t="s">
        <v>583</v>
      </c>
    </row>
    <row r="12" spans="1:8" ht="16">
      <c r="A12" s="6" t="s">
        <v>351</v>
      </c>
      <c r="B12" s="6" t="s">
        <v>351</v>
      </c>
      <c r="D12">
        <v>1</v>
      </c>
      <c r="E12">
        <v>1</v>
      </c>
      <c r="F12">
        <v>1</v>
      </c>
      <c r="G12" s="3" t="s">
        <v>338</v>
      </c>
      <c r="H12" s="9" t="s">
        <v>583</v>
      </c>
    </row>
    <row r="13" spans="1:8">
      <c r="A13" s="6" t="s">
        <v>352</v>
      </c>
      <c r="B13" s="6" t="s">
        <v>352</v>
      </c>
      <c r="D13">
        <v>1</v>
      </c>
      <c r="E13">
        <v>1</v>
      </c>
      <c r="F13">
        <v>1</v>
      </c>
      <c r="G13" s="9" t="s">
        <v>339</v>
      </c>
      <c r="H13" s="9" t="s">
        <v>583</v>
      </c>
    </row>
    <row r="14" spans="1:8">
      <c r="A14" s="6" t="s">
        <v>353</v>
      </c>
      <c r="B14" s="6" t="s">
        <v>353</v>
      </c>
      <c r="D14">
        <v>1</v>
      </c>
      <c r="E14">
        <v>1</v>
      </c>
      <c r="F14">
        <v>1</v>
      </c>
      <c r="G14" s="9" t="s">
        <v>337</v>
      </c>
      <c r="H14" s="9" t="s">
        <v>583</v>
      </c>
    </row>
    <row r="15" spans="1:8">
      <c r="A15" s="6" t="s">
        <v>452</v>
      </c>
      <c r="B15" s="6" t="s">
        <v>452</v>
      </c>
      <c r="D15">
        <v>1</v>
      </c>
      <c r="E15">
        <v>1</v>
      </c>
      <c r="F15">
        <v>1</v>
      </c>
      <c r="G15" s="3"/>
      <c r="H15" s="9" t="s">
        <v>583</v>
      </c>
    </row>
    <row r="16" spans="1:8">
      <c r="A16" s="6" t="s">
        <v>408</v>
      </c>
      <c r="B16" s="6" t="s">
        <v>408</v>
      </c>
      <c r="D16">
        <v>1</v>
      </c>
      <c r="E16">
        <v>1</v>
      </c>
      <c r="F16">
        <v>1</v>
      </c>
      <c r="G16" s="3"/>
      <c r="H16" s="9" t="s">
        <v>583</v>
      </c>
    </row>
    <row r="17" spans="1:8">
      <c r="A17" s="6" t="s">
        <v>404</v>
      </c>
      <c r="B17" s="6" t="s">
        <v>404</v>
      </c>
      <c r="D17">
        <v>1</v>
      </c>
      <c r="E17">
        <v>1</v>
      </c>
      <c r="F17">
        <v>1</v>
      </c>
      <c r="G17" s="9" t="s">
        <v>337</v>
      </c>
      <c r="H17" s="9" t="s">
        <v>583</v>
      </c>
    </row>
    <row r="18" spans="1:8">
      <c r="A18" s="6" t="s">
        <v>455</v>
      </c>
      <c r="B18" s="6" t="s">
        <v>455</v>
      </c>
      <c r="D18">
        <v>1</v>
      </c>
      <c r="E18">
        <v>1</v>
      </c>
      <c r="F18">
        <v>1</v>
      </c>
      <c r="G18" s="9" t="s">
        <v>339</v>
      </c>
      <c r="H18" s="9" t="s">
        <v>583</v>
      </c>
    </row>
    <row r="19" spans="1:8">
      <c r="A19" s="6" t="s">
        <v>470</v>
      </c>
      <c r="B19" s="6" t="s">
        <v>470</v>
      </c>
      <c r="D19">
        <v>1</v>
      </c>
      <c r="E19">
        <v>1</v>
      </c>
      <c r="F19">
        <v>1</v>
      </c>
      <c r="G19" s="9" t="s">
        <v>339</v>
      </c>
      <c r="H19" s="9" t="s">
        <v>583</v>
      </c>
    </row>
    <row r="20" spans="1:8">
      <c r="A20" s="6" t="s">
        <v>354</v>
      </c>
      <c r="B20" s="6" t="s">
        <v>354</v>
      </c>
      <c r="C20" s="9">
        <v>1</v>
      </c>
      <c r="D20">
        <v>1</v>
      </c>
      <c r="E20">
        <v>1</v>
      </c>
      <c r="F20">
        <v>1</v>
      </c>
      <c r="G20" s="3"/>
      <c r="H20" s="9" t="s">
        <v>583</v>
      </c>
    </row>
    <row r="21" spans="1:8">
      <c r="A21" s="6" t="s">
        <v>412</v>
      </c>
      <c r="B21" s="6" t="s">
        <v>412</v>
      </c>
      <c r="C21" s="9">
        <v>1</v>
      </c>
      <c r="D21">
        <v>1</v>
      </c>
      <c r="E21">
        <v>1</v>
      </c>
      <c r="F21">
        <v>1</v>
      </c>
      <c r="H21" s="9" t="s">
        <v>583</v>
      </c>
    </row>
    <row r="22" spans="1:8">
      <c r="A22" s="6" t="s">
        <v>355</v>
      </c>
      <c r="B22" s="6" t="s">
        <v>355</v>
      </c>
      <c r="C22" s="9">
        <v>1</v>
      </c>
      <c r="D22">
        <v>1</v>
      </c>
      <c r="E22">
        <v>1</v>
      </c>
      <c r="F22">
        <v>1</v>
      </c>
      <c r="G22" s="3"/>
      <c r="H22" s="9" t="s">
        <v>583</v>
      </c>
    </row>
    <row r="23" spans="1:8">
      <c r="A23" s="6" t="s">
        <v>418</v>
      </c>
      <c r="B23" s="6" t="s">
        <v>418</v>
      </c>
      <c r="C23" s="9">
        <v>1</v>
      </c>
      <c r="D23">
        <v>1</v>
      </c>
      <c r="E23">
        <v>1</v>
      </c>
      <c r="F23">
        <v>1</v>
      </c>
      <c r="H23" s="9" t="s">
        <v>583</v>
      </c>
    </row>
    <row r="24" spans="1:8" ht="16">
      <c r="A24" s="6" t="s">
        <v>356</v>
      </c>
      <c r="B24" s="6" t="s">
        <v>356</v>
      </c>
      <c r="C24" s="9">
        <v>1</v>
      </c>
      <c r="D24">
        <v>1</v>
      </c>
      <c r="E24">
        <v>1</v>
      </c>
      <c r="F24">
        <v>1</v>
      </c>
      <c r="G24" s="3" t="s">
        <v>338</v>
      </c>
      <c r="H24" s="9" t="s">
        <v>583</v>
      </c>
    </row>
    <row r="25" spans="1:8" ht="16">
      <c r="A25" s="6" t="s">
        <v>357</v>
      </c>
      <c r="B25" s="6" t="s">
        <v>357</v>
      </c>
      <c r="C25" s="9">
        <v>1</v>
      </c>
      <c r="D25">
        <v>1</v>
      </c>
      <c r="E25">
        <v>1</v>
      </c>
      <c r="F25">
        <v>1</v>
      </c>
      <c r="G25" s="3" t="s">
        <v>338</v>
      </c>
      <c r="H25" s="9" t="s">
        <v>583</v>
      </c>
    </row>
    <row r="26" spans="1:8" ht="16">
      <c r="A26" s="6" t="s">
        <v>358</v>
      </c>
      <c r="B26" s="6" t="s">
        <v>358</v>
      </c>
      <c r="C26" s="9">
        <v>1</v>
      </c>
      <c r="D26">
        <v>1</v>
      </c>
      <c r="E26">
        <v>1</v>
      </c>
      <c r="F26">
        <v>1</v>
      </c>
      <c r="G26" s="3" t="s">
        <v>338</v>
      </c>
      <c r="H26" s="9" t="s">
        <v>583</v>
      </c>
    </row>
    <row r="27" spans="1:8" ht="16">
      <c r="A27" s="6" t="s">
        <v>359</v>
      </c>
      <c r="B27" s="6" t="s">
        <v>359</v>
      </c>
      <c r="C27" s="9">
        <v>1</v>
      </c>
      <c r="D27">
        <v>1</v>
      </c>
      <c r="E27">
        <v>1</v>
      </c>
      <c r="F27">
        <v>1</v>
      </c>
      <c r="G27" s="3" t="s">
        <v>338</v>
      </c>
      <c r="H27" s="9" t="s">
        <v>583</v>
      </c>
    </row>
    <row r="28" spans="1:8" ht="16">
      <c r="A28" s="6" t="s">
        <v>360</v>
      </c>
      <c r="B28" s="6" t="s">
        <v>360</v>
      </c>
      <c r="C28" s="9">
        <v>1</v>
      </c>
      <c r="D28">
        <v>1</v>
      </c>
      <c r="E28">
        <v>1</v>
      </c>
      <c r="F28">
        <v>1</v>
      </c>
      <c r="G28" s="3" t="s">
        <v>338</v>
      </c>
      <c r="H28" s="9" t="s">
        <v>583</v>
      </c>
    </row>
    <row r="29" spans="1:8" ht="16">
      <c r="A29" s="6" t="s">
        <v>361</v>
      </c>
      <c r="B29" s="6" t="s">
        <v>361</v>
      </c>
      <c r="C29" s="9">
        <v>1</v>
      </c>
      <c r="D29">
        <v>1</v>
      </c>
      <c r="E29">
        <v>1</v>
      </c>
      <c r="F29">
        <v>1</v>
      </c>
      <c r="G29" s="3" t="s">
        <v>338</v>
      </c>
      <c r="H29" s="9" t="s">
        <v>583</v>
      </c>
    </row>
    <row r="30" spans="1:8" ht="16">
      <c r="A30" s="6" t="s">
        <v>362</v>
      </c>
      <c r="B30" s="6" t="s">
        <v>362</v>
      </c>
      <c r="C30" s="9">
        <v>1</v>
      </c>
      <c r="D30">
        <v>1</v>
      </c>
      <c r="E30">
        <v>1</v>
      </c>
      <c r="F30">
        <v>1</v>
      </c>
      <c r="G30" s="3" t="s">
        <v>338</v>
      </c>
      <c r="H30" s="9" t="s">
        <v>583</v>
      </c>
    </row>
    <row r="31" spans="1:8" ht="16">
      <c r="A31" s="6" t="s">
        <v>363</v>
      </c>
      <c r="B31" s="6" t="s">
        <v>363</v>
      </c>
      <c r="C31" s="9">
        <v>1</v>
      </c>
      <c r="D31">
        <v>1</v>
      </c>
      <c r="E31">
        <v>1</v>
      </c>
      <c r="F31">
        <v>1</v>
      </c>
      <c r="G31" s="3" t="s">
        <v>338</v>
      </c>
      <c r="H31" s="9" t="s">
        <v>583</v>
      </c>
    </row>
    <row r="32" spans="1:8" ht="16">
      <c r="A32" s="2" t="s">
        <v>6</v>
      </c>
      <c r="B32" s="2" t="s">
        <v>6</v>
      </c>
      <c r="H32" s="9" t="s">
        <v>583</v>
      </c>
    </row>
    <row r="33" spans="1:8" ht="16">
      <c r="A33" s="2" t="s">
        <v>7</v>
      </c>
      <c r="B33" s="2" t="s">
        <v>7</v>
      </c>
      <c r="H33" s="9" t="s">
        <v>583</v>
      </c>
    </row>
    <row r="34" spans="1:8" ht="16">
      <c r="A34" s="2" t="s">
        <v>8</v>
      </c>
      <c r="B34" s="2" t="s">
        <v>8</v>
      </c>
      <c r="H34" s="9" t="s">
        <v>583</v>
      </c>
    </row>
    <row r="35" spans="1:8" ht="16">
      <c r="A35" s="2" t="s">
        <v>9</v>
      </c>
      <c r="B35" s="2" t="s">
        <v>9</v>
      </c>
      <c r="H35" s="9" t="s">
        <v>583</v>
      </c>
    </row>
    <row r="36" spans="1:8" ht="16">
      <c r="A36" s="2" t="s">
        <v>10</v>
      </c>
      <c r="B36" s="2" t="s">
        <v>10</v>
      </c>
      <c r="H36" s="9" t="s">
        <v>583</v>
      </c>
    </row>
    <row r="37" spans="1:8" ht="16">
      <c r="A37" s="2" t="s">
        <v>11</v>
      </c>
      <c r="B37" s="2" t="s">
        <v>11</v>
      </c>
      <c r="H37" s="9" t="s">
        <v>583</v>
      </c>
    </row>
    <row r="38" spans="1:8" ht="16">
      <c r="A38" s="2" t="s">
        <v>12</v>
      </c>
      <c r="B38" s="2" t="s">
        <v>12</v>
      </c>
      <c r="H38" s="9" t="s">
        <v>583</v>
      </c>
    </row>
    <row r="39" spans="1:8" ht="16">
      <c r="A39" s="2" t="s">
        <v>13</v>
      </c>
      <c r="B39" s="2" t="s">
        <v>13</v>
      </c>
      <c r="H39" s="9" t="s">
        <v>583</v>
      </c>
    </row>
    <row r="40" spans="1:8" ht="16">
      <c r="A40" s="2" t="s">
        <v>14</v>
      </c>
      <c r="B40" s="2" t="s">
        <v>14</v>
      </c>
      <c r="H40" s="9" t="s">
        <v>583</v>
      </c>
    </row>
    <row r="41" spans="1:8" ht="16">
      <c r="A41" s="2" t="s">
        <v>15</v>
      </c>
      <c r="B41" s="2" t="s">
        <v>15</v>
      </c>
      <c r="H41" s="9" t="s">
        <v>583</v>
      </c>
    </row>
    <row r="42" spans="1:8" ht="16">
      <c r="A42" s="2" t="s">
        <v>16</v>
      </c>
      <c r="B42" s="2" t="s">
        <v>16</v>
      </c>
      <c r="H42" s="9" t="s">
        <v>583</v>
      </c>
    </row>
    <row r="43" spans="1:8" ht="16">
      <c r="A43" s="2" t="s">
        <v>17</v>
      </c>
      <c r="B43" s="2" t="s">
        <v>17</v>
      </c>
      <c r="H43" s="9" t="s">
        <v>583</v>
      </c>
    </row>
    <row r="44" spans="1:8" ht="16">
      <c r="A44" s="2" t="s">
        <v>18</v>
      </c>
      <c r="B44" s="2" t="s">
        <v>18</v>
      </c>
      <c r="H44" s="9" t="s">
        <v>583</v>
      </c>
    </row>
    <row r="45" spans="1:8" ht="16">
      <c r="A45" s="2" t="s">
        <v>19</v>
      </c>
      <c r="B45" s="2" t="s">
        <v>19</v>
      </c>
      <c r="H45" s="9" t="s">
        <v>583</v>
      </c>
    </row>
    <row r="46" spans="1:8" ht="16">
      <c r="A46" s="2" t="s">
        <v>20</v>
      </c>
      <c r="B46" s="2" t="s">
        <v>20</v>
      </c>
      <c r="H46" s="9" t="s">
        <v>583</v>
      </c>
    </row>
  </sheetData>
  <sortState xmlns:xlrd2="http://schemas.microsoft.com/office/spreadsheetml/2017/richdata2" ref="A2:E31">
    <sortCondition ref="A2:A31"/>
  </sortState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3"/>
  <sheetViews>
    <sheetView zoomScale="174" workbookViewId="0">
      <selection activeCell="D1" sqref="D1"/>
    </sheetView>
  </sheetViews>
  <sheetFormatPr baseColWidth="10" defaultColWidth="9.5" defaultRowHeight="15"/>
  <cols>
    <col min="1" max="1" width="10" customWidth="1"/>
    <col min="2" max="2" width="12" customWidth="1"/>
    <col min="3" max="3" width="11" customWidth="1"/>
    <col min="4" max="4" width="21" customWidth="1"/>
  </cols>
  <sheetData>
    <row r="1" spans="1:4" ht="16">
      <c r="A1" s="11" t="s">
        <v>0</v>
      </c>
      <c r="B1" s="11" t="s">
        <v>22</v>
      </c>
      <c r="C1" s="11" t="s">
        <v>21</v>
      </c>
      <c r="D1" s="24" t="s">
        <v>476</v>
      </c>
    </row>
    <row r="2" spans="1:4">
      <c r="A2">
        <v>1</v>
      </c>
      <c r="B2" s="10" t="s">
        <v>394</v>
      </c>
      <c r="C2" s="6" t="s">
        <v>417</v>
      </c>
    </row>
    <row r="3" spans="1:4">
      <c r="A3">
        <v>2</v>
      </c>
      <c r="B3" s="10" t="s">
        <v>394</v>
      </c>
      <c r="C3" s="7" t="s">
        <v>529</v>
      </c>
    </row>
    <row r="4" spans="1:4">
      <c r="A4">
        <v>3</v>
      </c>
      <c r="B4" s="10" t="s">
        <v>394</v>
      </c>
      <c r="C4" s="6" t="s">
        <v>434</v>
      </c>
    </row>
    <row r="5" spans="1:4">
      <c r="A5">
        <v>4</v>
      </c>
      <c r="B5" s="10" t="s">
        <v>394</v>
      </c>
      <c r="C5" s="6" t="s">
        <v>439</v>
      </c>
    </row>
    <row r="6" spans="1:4">
      <c r="A6">
        <v>5</v>
      </c>
      <c r="B6" s="10" t="s">
        <v>394</v>
      </c>
      <c r="C6" s="6" t="s">
        <v>459</v>
      </c>
    </row>
    <row r="7" spans="1:4">
      <c r="A7">
        <v>6</v>
      </c>
      <c r="B7" s="10" t="s">
        <v>394</v>
      </c>
      <c r="C7" s="7" t="s">
        <v>530</v>
      </c>
    </row>
    <row r="8" spans="1:4">
      <c r="A8">
        <v>7</v>
      </c>
      <c r="B8" s="10" t="s">
        <v>394</v>
      </c>
      <c r="C8" s="6" t="s">
        <v>469</v>
      </c>
    </row>
    <row r="9" spans="1:4">
      <c r="A9">
        <v>8</v>
      </c>
      <c r="B9" s="10" t="s">
        <v>394</v>
      </c>
      <c r="C9" s="6" t="s">
        <v>446</v>
      </c>
    </row>
    <row r="10" spans="1:4">
      <c r="A10">
        <v>9</v>
      </c>
      <c r="B10" s="10" t="s">
        <v>393</v>
      </c>
      <c r="C10" s="6" t="s">
        <v>415</v>
      </c>
    </row>
    <row r="11" spans="1:4">
      <c r="A11">
        <v>10</v>
      </c>
      <c r="B11" s="10" t="s">
        <v>393</v>
      </c>
      <c r="C11" s="7" t="s">
        <v>422</v>
      </c>
    </row>
    <row r="12" spans="1:4">
      <c r="A12">
        <v>11</v>
      </c>
      <c r="B12" s="10" t="s">
        <v>393</v>
      </c>
      <c r="C12" s="6" t="s">
        <v>406</v>
      </c>
    </row>
    <row r="13" spans="1:4">
      <c r="A13">
        <v>12</v>
      </c>
      <c r="B13" s="10" t="s">
        <v>393</v>
      </c>
      <c r="C13" s="6" t="s">
        <v>400</v>
      </c>
    </row>
    <row r="14" spans="1:4">
      <c r="A14">
        <v>13</v>
      </c>
      <c r="B14" s="10" t="s">
        <v>393</v>
      </c>
      <c r="C14" s="7" t="s">
        <v>531</v>
      </c>
    </row>
    <row r="15" spans="1:4">
      <c r="A15">
        <v>14</v>
      </c>
      <c r="B15" s="10" t="s">
        <v>393</v>
      </c>
      <c r="C15" s="6" t="s">
        <v>422</v>
      </c>
    </row>
    <row r="16" spans="1:4">
      <c r="A16">
        <v>15</v>
      </c>
      <c r="B16" s="10" t="s">
        <v>393</v>
      </c>
      <c r="C16" s="6" t="s">
        <v>435</v>
      </c>
    </row>
    <row r="17" spans="1:3">
      <c r="A17">
        <v>16</v>
      </c>
      <c r="B17" s="10" t="s">
        <v>393</v>
      </c>
      <c r="C17" s="7" t="s">
        <v>532</v>
      </c>
    </row>
    <row r="18" spans="1:3">
      <c r="A18">
        <v>17</v>
      </c>
      <c r="B18" s="10" t="s">
        <v>393</v>
      </c>
      <c r="C18" s="7" t="s">
        <v>441</v>
      </c>
    </row>
    <row r="19" spans="1:3">
      <c r="A19">
        <v>18</v>
      </c>
      <c r="B19" s="10" t="s">
        <v>393</v>
      </c>
      <c r="C19" s="6" t="s">
        <v>441</v>
      </c>
    </row>
    <row r="20" spans="1:3">
      <c r="A20">
        <v>19</v>
      </c>
      <c r="B20" s="10" t="s">
        <v>393</v>
      </c>
      <c r="C20" s="6" t="s">
        <v>466</v>
      </c>
    </row>
    <row r="21" spans="1:3">
      <c r="A21">
        <v>20</v>
      </c>
      <c r="B21" s="10" t="s">
        <v>393</v>
      </c>
      <c r="C21" s="6" t="s">
        <v>445</v>
      </c>
    </row>
    <row r="22" spans="1:3">
      <c r="A22">
        <v>21</v>
      </c>
      <c r="B22" s="10" t="s">
        <v>23</v>
      </c>
      <c r="C22" s="7" t="s">
        <v>533</v>
      </c>
    </row>
    <row r="23" spans="1:3">
      <c r="A23">
        <v>22</v>
      </c>
      <c r="B23" s="10" t="s">
        <v>23</v>
      </c>
      <c r="C23" s="6" t="s">
        <v>423</v>
      </c>
    </row>
    <row r="24" spans="1:3">
      <c r="A24">
        <v>23</v>
      </c>
      <c r="B24" s="10" t="s">
        <v>23</v>
      </c>
      <c r="C24" s="7" t="s">
        <v>568</v>
      </c>
    </row>
    <row r="25" spans="1:3">
      <c r="A25">
        <v>24</v>
      </c>
      <c r="B25" s="10" t="s">
        <v>23</v>
      </c>
      <c r="C25" s="6" t="s">
        <v>411</v>
      </c>
    </row>
    <row r="26" spans="1:3">
      <c r="A26">
        <v>25</v>
      </c>
      <c r="B26" s="10" t="s">
        <v>23</v>
      </c>
      <c r="C26" s="7" t="s">
        <v>407</v>
      </c>
    </row>
    <row r="27" spans="1:3">
      <c r="A27">
        <v>26</v>
      </c>
      <c r="B27" s="10" t="s">
        <v>23</v>
      </c>
      <c r="C27" s="6" t="s">
        <v>403</v>
      </c>
    </row>
    <row r="28" spans="1:3">
      <c r="A28">
        <v>27</v>
      </c>
      <c r="B28" s="10" t="s">
        <v>23</v>
      </c>
      <c r="C28" s="7" t="s">
        <v>539</v>
      </c>
    </row>
    <row r="29" spans="1:3">
      <c r="A29">
        <v>28</v>
      </c>
      <c r="B29" s="10" t="s">
        <v>23</v>
      </c>
      <c r="C29" t="s">
        <v>535</v>
      </c>
    </row>
    <row r="30" spans="1:3">
      <c r="A30">
        <v>29</v>
      </c>
      <c r="B30" s="10" t="s">
        <v>23</v>
      </c>
      <c r="C30" t="s">
        <v>536</v>
      </c>
    </row>
    <row r="31" spans="1:3">
      <c r="A31">
        <v>30</v>
      </c>
      <c r="B31" s="10" t="s">
        <v>23</v>
      </c>
      <c r="C31" s="9" t="s">
        <v>569</v>
      </c>
    </row>
    <row r="32" spans="1:3">
      <c r="A32">
        <v>31</v>
      </c>
      <c r="B32" s="10" t="s">
        <v>23</v>
      </c>
      <c r="C32" s="9" t="s">
        <v>570</v>
      </c>
    </row>
    <row r="33" spans="1:3">
      <c r="A33">
        <v>32</v>
      </c>
      <c r="B33" s="10" t="s">
        <v>23</v>
      </c>
      <c r="C33" s="9" t="s">
        <v>571</v>
      </c>
    </row>
    <row r="34" spans="1:3">
      <c r="A34">
        <v>33</v>
      </c>
      <c r="B34" s="10" t="s">
        <v>23</v>
      </c>
      <c r="C34" s="7" t="s">
        <v>540</v>
      </c>
    </row>
    <row r="35" spans="1:3">
      <c r="A35">
        <v>34</v>
      </c>
      <c r="B35" s="10" t="s">
        <v>23</v>
      </c>
      <c r="C35" t="s">
        <v>534</v>
      </c>
    </row>
    <row r="36" spans="1:3">
      <c r="A36">
        <v>35</v>
      </c>
      <c r="B36" s="10" t="s">
        <v>23</v>
      </c>
      <c r="C36" s="6" t="s">
        <v>416</v>
      </c>
    </row>
    <row r="37" spans="1:3">
      <c r="A37">
        <v>36</v>
      </c>
      <c r="B37" s="10" t="s">
        <v>23</v>
      </c>
      <c r="C37" s="7" t="s">
        <v>541</v>
      </c>
    </row>
    <row r="38" spans="1:3">
      <c r="A38">
        <v>37</v>
      </c>
      <c r="B38" s="10" t="s">
        <v>23</v>
      </c>
      <c r="C38" t="s">
        <v>537</v>
      </c>
    </row>
    <row r="39" spans="1:3">
      <c r="A39">
        <v>38</v>
      </c>
      <c r="B39" s="10" t="s">
        <v>23</v>
      </c>
      <c r="C39" s="7" t="s">
        <v>538</v>
      </c>
    </row>
    <row r="40" spans="1:3">
      <c r="A40">
        <v>39</v>
      </c>
      <c r="B40" s="10" t="s">
        <v>23</v>
      </c>
      <c r="C40" s="7" t="s">
        <v>457</v>
      </c>
    </row>
    <row r="41" spans="1:3">
      <c r="A41">
        <v>40</v>
      </c>
      <c r="B41" s="10" t="s">
        <v>23</v>
      </c>
      <c r="C41" s="7" t="s">
        <v>458</v>
      </c>
    </row>
    <row r="42" spans="1:3">
      <c r="A42">
        <v>41</v>
      </c>
      <c r="B42" s="10" t="s">
        <v>23</v>
      </c>
      <c r="C42" s="7" t="s">
        <v>542</v>
      </c>
    </row>
    <row r="43" spans="1:3">
      <c r="A43">
        <v>42</v>
      </c>
      <c r="B43" s="10" t="s">
        <v>23</v>
      </c>
      <c r="C43" s="7" t="s">
        <v>543</v>
      </c>
    </row>
    <row r="44" spans="1:3">
      <c r="A44">
        <v>43</v>
      </c>
      <c r="B44" s="10" t="s">
        <v>23</v>
      </c>
      <c r="C44" s="7" t="s">
        <v>544</v>
      </c>
    </row>
    <row r="45" spans="1:3">
      <c r="A45">
        <v>44</v>
      </c>
      <c r="B45" s="10" t="s">
        <v>23</v>
      </c>
      <c r="C45" s="7" t="s">
        <v>545</v>
      </c>
    </row>
    <row r="46" spans="1:3">
      <c r="A46">
        <v>45</v>
      </c>
      <c r="B46" s="10" t="s">
        <v>23</v>
      </c>
      <c r="C46" s="7" t="s">
        <v>546</v>
      </c>
    </row>
    <row r="47" spans="1:3">
      <c r="A47">
        <v>46</v>
      </c>
      <c r="B47" s="10" t="s">
        <v>23</v>
      </c>
      <c r="C47" s="7" t="s">
        <v>547</v>
      </c>
    </row>
    <row r="48" spans="1:3">
      <c r="A48">
        <v>47</v>
      </c>
      <c r="B48" s="10" t="s">
        <v>23</v>
      </c>
      <c r="C48" s="7" t="s">
        <v>548</v>
      </c>
    </row>
    <row r="49" spans="1:3">
      <c r="A49">
        <v>48</v>
      </c>
      <c r="B49" s="10" t="s">
        <v>23</v>
      </c>
      <c r="C49" s="7" t="s">
        <v>549</v>
      </c>
    </row>
    <row r="50" spans="1:3">
      <c r="A50">
        <v>49</v>
      </c>
      <c r="B50" s="10" t="s">
        <v>24</v>
      </c>
      <c r="C50" s="6" t="s">
        <v>419</v>
      </c>
    </row>
    <row r="51" spans="1:3">
      <c r="A51">
        <v>50</v>
      </c>
      <c r="B51" s="10" t="s">
        <v>24</v>
      </c>
      <c r="C51" s="6" t="s">
        <v>552</v>
      </c>
    </row>
    <row r="52" spans="1:3">
      <c r="A52">
        <v>51</v>
      </c>
      <c r="B52" s="10" t="s">
        <v>24</v>
      </c>
      <c r="C52" s="6" t="s">
        <v>410</v>
      </c>
    </row>
    <row r="53" spans="1:3">
      <c r="A53">
        <v>52</v>
      </c>
      <c r="B53" s="10" t="s">
        <v>24</v>
      </c>
      <c r="C53" s="6" t="s">
        <v>572</v>
      </c>
    </row>
    <row r="54" spans="1:3">
      <c r="A54">
        <v>53</v>
      </c>
      <c r="B54" s="10" t="s">
        <v>24</v>
      </c>
      <c r="C54" s="6" t="s">
        <v>405</v>
      </c>
    </row>
    <row r="55" spans="1:3">
      <c r="A55">
        <v>54</v>
      </c>
      <c r="B55" s="10" t="s">
        <v>24</v>
      </c>
      <c r="C55" s="6" t="s">
        <v>401</v>
      </c>
    </row>
    <row r="56" spans="1:3">
      <c r="A56">
        <v>55</v>
      </c>
      <c r="B56" s="10" t="s">
        <v>24</v>
      </c>
      <c r="C56" s="6" t="s">
        <v>555</v>
      </c>
    </row>
    <row r="57" spans="1:3">
      <c r="A57">
        <v>56</v>
      </c>
      <c r="B57" s="10" t="s">
        <v>24</v>
      </c>
      <c r="C57" s="6" t="s">
        <v>556</v>
      </c>
    </row>
    <row r="58" spans="1:3">
      <c r="A58">
        <v>57</v>
      </c>
      <c r="B58" s="10" t="s">
        <v>24</v>
      </c>
      <c r="C58" s="6" t="s">
        <v>421</v>
      </c>
    </row>
    <row r="59" spans="1:3">
      <c r="A59">
        <v>58</v>
      </c>
      <c r="B59" s="10" t="s">
        <v>24</v>
      </c>
      <c r="C59" s="6" t="s">
        <v>550</v>
      </c>
    </row>
    <row r="60" spans="1:3">
      <c r="A60">
        <v>59</v>
      </c>
      <c r="B60" s="10" t="s">
        <v>24</v>
      </c>
      <c r="C60" s="6" t="s">
        <v>551</v>
      </c>
    </row>
    <row r="61" spans="1:3">
      <c r="A61">
        <v>60</v>
      </c>
      <c r="B61" s="10" t="s">
        <v>24</v>
      </c>
      <c r="C61" s="6" t="s">
        <v>431</v>
      </c>
    </row>
    <row r="62" spans="1:3">
      <c r="A62">
        <v>61</v>
      </c>
      <c r="B62" s="10" t="s">
        <v>24</v>
      </c>
      <c r="C62" s="6" t="s">
        <v>553</v>
      </c>
    </row>
    <row r="63" spans="1:3">
      <c r="A63">
        <v>62</v>
      </c>
      <c r="B63" s="10" t="s">
        <v>24</v>
      </c>
      <c r="C63" s="6" t="s">
        <v>554</v>
      </c>
    </row>
    <row r="64" spans="1:3">
      <c r="A64">
        <v>63</v>
      </c>
      <c r="B64" s="10" t="s">
        <v>24</v>
      </c>
      <c r="C64" s="6" t="s">
        <v>557</v>
      </c>
    </row>
    <row r="65" spans="1:3">
      <c r="A65">
        <v>64</v>
      </c>
      <c r="B65" s="10" t="s">
        <v>24</v>
      </c>
      <c r="C65" s="6" t="s">
        <v>461</v>
      </c>
    </row>
    <row r="66" spans="1:3">
      <c r="A66">
        <v>65</v>
      </c>
      <c r="B66" s="10" t="s">
        <v>24</v>
      </c>
      <c r="C66" s="6" t="s">
        <v>465</v>
      </c>
    </row>
    <row r="67" spans="1:3">
      <c r="A67">
        <v>66</v>
      </c>
      <c r="B67" s="10" t="s">
        <v>24</v>
      </c>
      <c r="C67" s="6" t="s">
        <v>443</v>
      </c>
    </row>
    <row r="68" spans="1:3">
      <c r="A68">
        <v>67</v>
      </c>
      <c r="B68" s="10" t="s">
        <v>24</v>
      </c>
      <c r="C68" s="6" t="s">
        <v>451</v>
      </c>
    </row>
    <row r="69" spans="1:3">
      <c r="A69">
        <v>68</v>
      </c>
      <c r="B69" s="10" t="s">
        <v>484</v>
      </c>
      <c r="C69" s="6" t="s">
        <v>375</v>
      </c>
    </row>
    <row r="70" spans="1:3">
      <c r="A70">
        <v>69</v>
      </c>
      <c r="B70" s="10" t="s">
        <v>484</v>
      </c>
      <c r="C70" s="6" t="s">
        <v>376</v>
      </c>
    </row>
    <row r="71" spans="1:3">
      <c r="A71">
        <v>70</v>
      </c>
      <c r="B71" s="10" t="s">
        <v>484</v>
      </c>
      <c r="C71" s="6" t="s">
        <v>377</v>
      </c>
    </row>
    <row r="72" spans="1:3">
      <c r="A72">
        <v>71</v>
      </c>
      <c r="B72" s="10" t="s">
        <v>484</v>
      </c>
      <c r="C72" s="6" t="s">
        <v>378</v>
      </c>
    </row>
    <row r="73" spans="1:3">
      <c r="A73">
        <v>72</v>
      </c>
      <c r="B73" s="10" t="s">
        <v>484</v>
      </c>
      <c r="C73" s="6" t="s">
        <v>379</v>
      </c>
    </row>
    <row r="74" spans="1:3">
      <c r="A74">
        <v>73</v>
      </c>
      <c r="B74" s="10" t="s">
        <v>484</v>
      </c>
      <c r="C74" s="6" t="s">
        <v>380</v>
      </c>
    </row>
    <row r="75" spans="1:3">
      <c r="A75">
        <v>74</v>
      </c>
      <c r="B75" s="10" t="s">
        <v>484</v>
      </c>
      <c r="C75" s="6" t="s">
        <v>381</v>
      </c>
    </row>
    <row r="76" spans="1:3">
      <c r="A76">
        <v>75</v>
      </c>
      <c r="B76" s="10" t="s">
        <v>484</v>
      </c>
      <c r="C76" s="6" t="s">
        <v>382</v>
      </c>
    </row>
    <row r="77" spans="1:3">
      <c r="A77">
        <v>76</v>
      </c>
      <c r="B77" s="10" t="s">
        <v>484</v>
      </c>
      <c r="C77" s="6" t="s">
        <v>397</v>
      </c>
    </row>
    <row r="78" spans="1:3">
      <c r="A78">
        <v>77</v>
      </c>
      <c r="B78" s="10" t="s">
        <v>484</v>
      </c>
      <c r="C78" s="6" t="s">
        <v>573</v>
      </c>
    </row>
    <row r="79" spans="1:3">
      <c r="A79">
        <v>78</v>
      </c>
      <c r="B79" s="10" t="s">
        <v>484</v>
      </c>
      <c r="C79" s="6" t="s">
        <v>424</v>
      </c>
    </row>
    <row r="80" spans="1:3">
      <c r="A80">
        <v>79</v>
      </c>
      <c r="B80" s="10" t="s">
        <v>484</v>
      </c>
      <c r="C80" s="6" t="s">
        <v>426</v>
      </c>
    </row>
    <row r="81" spans="1:3">
      <c r="A81">
        <v>80</v>
      </c>
      <c r="B81" s="10" t="s">
        <v>484</v>
      </c>
      <c r="C81" s="6" t="s">
        <v>428</v>
      </c>
    </row>
    <row r="82" spans="1:3">
      <c r="A82">
        <v>81</v>
      </c>
      <c r="B82" s="10" t="s">
        <v>484</v>
      </c>
      <c r="C82" s="6" t="s">
        <v>430</v>
      </c>
    </row>
    <row r="83" spans="1:3">
      <c r="A83">
        <v>82</v>
      </c>
      <c r="B83" s="10" t="s">
        <v>484</v>
      </c>
      <c r="C83" s="6" t="s">
        <v>453</v>
      </c>
    </row>
    <row r="84" spans="1:3">
      <c r="A84">
        <v>83</v>
      </c>
      <c r="B84" s="10" t="s">
        <v>484</v>
      </c>
      <c r="C84" s="6" t="s">
        <v>438</v>
      </c>
    </row>
    <row r="85" spans="1:3">
      <c r="A85">
        <v>84</v>
      </c>
      <c r="B85" s="10" t="s">
        <v>484</v>
      </c>
      <c r="C85" s="6" t="s">
        <v>558</v>
      </c>
    </row>
    <row r="86" spans="1:3">
      <c r="A86">
        <v>85</v>
      </c>
      <c r="B86" s="10" t="s">
        <v>484</v>
      </c>
      <c r="C86" s="6" t="s">
        <v>559</v>
      </c>
    </row>
    <row r="87" spans="1:3">
      <c r="A87">
        <v>86</v>
      </c>
      <c r="B87" s="10" t="s">
        <v>484</v>
      </c>
      <c r="C87" s="6" t="s">
        <v>460</v>
      </c>
    </row>
    <row r="88" spans="1:3">
      <c r="A88">
        <v>87</v>
      </c>
      <c r="B88" s="10" t="s">
        <v>484</v>
      </c>
      <c r="C88" s="6" t="s">
        <v>462</v>
      </c>
    </row>
    <row r="89" spans="1:3">
      <c r="A89">
        <v>88</v>
      </c>
      <c r="B89" s="10" t="s">
        <v>484</v>
      </c>
      <c r="C89" s="6" t="s">
        <v>467</v>
      </c>
    </row>
    <row r="90" spans="1:3">
      <c r="A90">
        <v>89</v>
      </c>
      <c r="B90" s="10" t="s">
        <v>484</v>
      </c>
      <c r="C90" s="6" t="s">
        <v>442</v>
      </c>
    </row>
    <row r="91" spans="1:3">
      <c r="A91">
        <v>90</v>
      </c>
      <c r="B91" s="10" t="s">
        <v>484</v>
      </c>
      <c r="C91" s="6" t="s">
        <v>449</v>
      </c>
    </row>
    <row r="92" spans="1:3">
      <c r="A92">
        <v>91</v>
      </c>
      <c r="B92" s="10" t="s">
        <v>392</v>
      </c>
      <c r="C92" s="6" t="s">
        <v>413</v>
      </c>
    </row>
    <row r="93" spans="1:3">
      <c r="A93">
        <v>92</v>
      </c>
      <c r="B93" s="10" t="s">
        <v>392</v>
      </c>
      <c r="C93" s="6" t="s">
        <v>409</v>
      </c>
    </row>
    <row r="94" spans="1:3">
      <c r="A94">
        <v>93</v>
      </c>
      <c r="B94" s="10" t="s">
        <v>392</v>
      </c>
      <c r="C94" s="6" t="s">
        <v>402</v>
      </c>
    </row>
    <row r="95" spans="1:3">
      <c r="A95">
        <v>94</v>
      </c>
      <c r="B95" s="10" t="s">
        <v>392</v>
      </c>
      <c r="C95" s="6" t="s">
        <v>396</v>
      </c>
    </row>
    <row r="96" spans="1:3">
      <c r="A96">
        <v>95</v>
      </c>
      <c r="B96" s="10" t="s">
        <v>392</v>
      </c>
      <c r="C96" s="7" t="s">
        <v>560</v>
      </c>
    </row>
    <row r="97" spans="1:3">
      <c r="A97">
        <v>96</v>
      </c>
      <c r="B97" s="10" t="s">
        <v>392</v>
      </c>
      <c r="C97" t="s">
        <v>561</v>
      </c>
    </row>
    <row r="98" spans="1:3">
      <c r="A98">
        <v>97</v>
      </c>
      <c r="B98" s="10" t="s">
        <v>392</v>
      </c>
      <c r="C98" s="6" t="s">
        <v>436</v>
      </c>
    </row>
    <row r="99" spans="1:3">
      <c r="A99">
        <v>98</v>
      </c>
      <c r="B99" s="10" t="s">
        <v>392</v>
      </c>
      <c r="C99" s="7" t="s">
        <v>562</v>
      </c>
    </row>
    <row r="100" spans="1:3">
      <c r="A100">
        <v>99</v>
      </c>
      <c r="B100" s="10" t="s">
        <v>392</v>
      </c>
      <c r="C100" t="s">
        <v>563</v>
      </c>
    </row>
    <row r="101" spans="1:3">
      <c r="A101">
        <v>100</v>
      </c>
      <c r="B101" s="10" t="s">
        <v>392</v>
      </c>
      <c r="C101" s="7" t="s">
        <v>564</v>
      </c>
    </row>
    <row r="102" spans="1:3">
      <c r="A102">
        <v>101</v>
      </c>
      <c r="B102" s="10" t="s">
        <v>392</v>
      </c>
      <c r="C102" t="s">
        <v>565</v>
      </c>
    </row>
    <row r="103" spans="1:3">
      <c r="A103">
        <v>102</v>
      </c>
      <c r="B103" s="10" t="s">
        <v>395</v>
      </c>
      <c r="C103" s="6" t="s">
        <v>448</v>
      </c>
    </row>
    <row r="104" spans="1:3">
      <c r="A104">
        <v>103</v>
      </c>
      <c r="B104" s="10" t="s">
        <v>25</v>
      </c>
      <c r="C104" s="6" t="s">
        <v>414</v>
      </c>
    </row>
    <row r="105" spans="1:3">
      <c r="A105">
        <v>104</v>
      </c>
      <c r="B105" s="10" t="s">
        <v>25</v>
      </c>
      <c r="C105" s="6" t="s">
        <v>398</v>
      </c>
    </row>
    <row r="106" spans="1:3">
      <c r="A106">
        <v>105</v>
      </c>
      <c r="B106" s="10" t="s">
        <v>25</v>
      </c>
      <c r="C106" s="6" t="s">
        <v>420</v>
      </c>
    </row>
    <row r="107" spans="1:3">
      <c r="A107">
        <v>106</v>
      </c>
      <c r="B107" s="10" t="s">
        <v>25</v>
      </c>
      <c r="C107" s="6" t="s">
        <v>432</v>
      </c>
    </row>
    <row r="108" spans="1:3">
      <c r="A108">
        <v>107</v>
      </c>
      <c r="B108" s="10" t="s">
        <v>25</v>
      </c>
      <c r="C108" s="6" t="s">
        <v>437</v>
      </c>
    </row>
    <row r="109" spans="1:3">
      <c r="A109">
        <v>108</v>
      </c>
      <c r="B109" s="10" t="s">
        <v>25</v>
      </c>
      <c r="C109" s="6" t="s">
        <v>463</v>
      </c>
    </row>
    <row r="110" spans="1:3">
      <c r="A110">
        <v>109</v>
      </c>
      <c r="B110" s="10" t="s">
        <v>25</v>
      </c>
      <c r="C110" s="6" t="s">
        <v>447</v>
      </c>
    </row>
    <row r="111" spans="1:3">
      <c r="A111">
        <v>110</v>
      </c>
      <c r="B111" s="10" t="s">
        <v>485</v>
      </c>
      <c r="C111" s="6" t="s">
        <v>383</v>
      </c>
    </row>
    <row r="112" spans="1:3">
      <c r="A112">
        <v>111</v>
      </c>
      <c r="B112" s="10" t="s">
        <v>485</v>
      </c>
      <c r="C112" s="7" t="s">
        <v>384</v>
      </c>
    </row>
    <row r="113" spans="1:3">
      <c r="A113">
        <v>112</v>
      </c>
      <c r="B113" s="10" t="s">
        <v>485</v>
      </c>
      <c r="C113" t="s">
        <v>385</v>
      </c>
    </row>
    <row r="114" spans="1:3">
      <c r="A114">
        <v>113</v>
      </c>
      <c r="B114" s="10" t="s">
        <v>485</v>
      </c>
      <c r="C114" s="7" t="s">
        <v>386</v>
      </c>
    </row>
    <row r="115" spans="1:3">
      <c r="A115">
        <v>114</v>
      </c>
      <c r="B115" s="10" t="s">
        <v>485</v>
      </c>
      <c r="C115" t="s">
        <v>387</v>
      </c>
    </row>
    <row r="116" spans="1:3">
      <c r="A116">
        <v>115</v>
      </c>
      <c r="B116" s="10" t="s">
        <v>485</v>
      </c>
      <c r="C116" s="6" t="s">
        <v>388</v>
      </c>
    </row>
    <row r="117" spans="1:3">
      <c r="A117">
        <v>116</v>
      </c>
      <c r="B117" s="10" t="s">
        <v>485</v>
      </c>
      <c r="C117" s="6" t="s">
        <v>389</v>
      </c>
    </row>
    <row r="118" spans="1:3">
      <c r="A118">
        <v>117</v>
      </c>
      <c r="B118" s="10" t="s">
        <v>485</v>
      </c>
      <c r="C118" s="6" t="s">
        <v>390</v>
      </c>
    </row>
    <row r="119" spans="1:3">
      <c r="A119">
        <v>118</v>
      </c>
      <c r="B119" s="10" t="s">
        <v>485</v>
      </c>
      <c r="C119" s="6" t="s">
        <v>399</v>
      </c>
    </row>
    <row r="120" spans="1:3">
      <c r="A120">
        <v>119</v>
      </c>
      <c r="B120" s="10" t="s">
        <v>485</v>
      </c>
      <c r="C120" s="6" t="s">
        <v>574</v>
      </c>
    </row>
    <row r="121" spans="1:3">
      <c r="A121">
        <v>120</v>
      </c>
      <c r="B121" s="10" t="s">
        <v>485</v>
      </c>
      <c r="C121" s="6" t="s">
        <v>425</v>
      </c>
    </row>
    <row r="122" spans="1:3">
      <c r="A122">
        <v>121</v>
      </c>
      <c r="B122" s="10" t="s">
        <v>485</v>
      </c>
      <c r="C122" s="6" t="s">
        <v>427</v>
      </c>
    </row>
    <row r="123" spans="1:3">
      <c r="A123">
        <v>122</v>
      </c>
      <c r="B123" s="10" t="s">
        <v>485</v>
      </c>
      <c r="C123" s="6" t="s">
        <v>429</v>
      </c>
    </row>
    <row r="124" spans="1:3">
      <c r="A124">
        <v>123</v>
      </c>
      <c r="B124" s="10" t="s">
        <v>485</v>
      </c>
      <c r="C124" s="6" t="s">
        <v>433</v>
      </c>
    </row>
    <row r="125" spans="1:3">
      <c r="A125">
        <v>124</v>
      </c>
      <c r="B125" s="10" t="s">
        <v>485</v>
      </c>
      <c r="C125" s="6" t="s">
        <v>454</v>
      </c>
    </row>
    <row r="126" spans="1:3">
      <c r="A126">
        <v>125</v>
      </c>
      <c r="B126" s="10" t="s">
        <v>485</v>
      </c>
      <c r="C126" s="6" t="s">
        <v>456</v>
      </c>
    </row>
    <row r="127" spans="1:3">
      <c r="A127">
        <v>126</v>
      </c>
      <c r="B127" s="10" t="s">
        <v>485</v>
      </c>
      <c r="C127" s="6" t="s">
        <v>575</v>
      </c>
    </row>
    <row r="128" spans="1:3">
      <c r="A128">
        <v>127</v>
      </c>
      <c r="B128" s="10" t="s">
        <v>485</v>
      </c>
      <c r="C128" s="6" t="s">
        <v>440</v>
      </c>
    </row>
    <row r="129" spans="1:3">
      <c r="A129">
        <v>128</v>
      </c>
      <c r="B129" s="10" t="s">
        <v>485</v>
      </c>
      <c r="C129" s="7" t="s">
        <v>566</v>
      </c>
    </row>
    <row r="130" spans="1:3">
      <c r="A130">
        <v>129</v>
      </c>
      <c r="B130" s="10" t="s">
        <v>485</v>
      </c>
      <c r="C130" s="6" t="s">
        <v>464</v>
      </c>
    </row>
    <row r="131" spans="1:3">
      <c r="A131">
        <v>130</v>
      </c>
      <c r="B131" s="10" t="s">
        <v>485</v>
      </c>
      <c r="C131" s="7" t="s">
        <v>567</v>
      </c>
    </row>
    <row r="132" spans="1:3">
      <c r="A132">
        <v>131</v>
      </c>
      <c r="B132" s="10" t="s">
        <v>485</v>
      </c>
      <c r="C132" s="6" t="s">
        <v>468</v>
      </c>
    </row>
    <row r="133" spans="1:3">
      <c r="A133">
        <v>132</v>
      </c>
      <c r="B133" s="10" t="s">
        <v>485</v>
      </c>
      <c r="C133" s="6" t="s">
        <v>444</v>
      </c>
    </row>
    <row r="134" spans="1:3">
      <c r="A134">
        <v>133</v>
      </c>
      <c r="B134" s="10" t="s">
        <v>485</v>
      </c>
      <c r="C134" s="6" t="s">
        <v>450</v>
      </c>
    </row>
    <row r="214" spans="2:4">
      <c r="B214" s="6"/>
      <c r="D214" s="6"/>
    </row>
    <row r="216" spans="2:4">
      <c r="C216" s="6"/>
    </row>
    <row r="217" spans="2:4">
      <c r="C217" s="6"/>
    </row>
    <row r="218" spans="2:4">
      <c r="C218" s="6"/>
    </row>
    <row r="219" spans="2:4">
      <c r="C219" s="6"/>
    </row>
    <row r="220" spans="2:4">
      <c r="C220" s="6"/>
    </row>
    <row r="224" spans="2:4">
      <c r="C224" s="6"/>
    </row>
    <row r="229" spans="2:3">
      <c r="C229" s="6"/>
    </row>
    <row r="230" spans="2:3">
      <c r="C230" s="6"/>
    </row>
    <row r="237" spans="2:3">
      <c r="B237" s="6"/>
      <c r="C237" s="6"/>
    </row>
    <row r="238" spans="2:3">
      <c r="B238" s="6"/>
    </row>
    <row r="239" spans="2:3">
      <c r="B239" s="6"/>
    </row>
    <row r="240" spans="2:3">
      <c r="B240" s="6"/>
    </row>
    <row r="241" spans="2:3">
      <c r="B241" s="6"/>
    </row>
    <row r="242" spans="2:3">
      <c r="B242" s="6"/>
    </row>
    <row r="243" spans="2:3">
      <c r="B243" s="6"/>
    </row>
    <row r="244" spans="2:3">
      <c r="B244" s="6"/>
    </row>
    <row r="249" spans="2:3">
      <c r="C249" s="6"/>
    </row>
    <row r="250" spans="2:3">
      <c r="C250" s="6"/>
    </row>
    <row r="251" spans="2:3">
      <c r="C251" s="6"/>
    </row>
    <row r="252" spans="2:3">
      <c r="C252" s="6"/>
    </row>
    <row r="253" spans="2:3">
      <c r="C253" s="6"/>
    </row>
    <row r="254" spans="2:3">
      <c r="C254" s="6"/>
    </row>
    <row r="255" spans="2:3">
      <c r="C255" s="6"/>
    </row>
    <row r="256" spans="2:3">
      <c r="C256" s="6"/>
    </row>
    <row r="257" spans="3:3">
      <c r="C257" s="6"/>
    </row>
    <row r="258" spans="3:3">
      <c r="C258" s="6"/>
    </row>
    <row r="259" spans="3:3">
      <c r="C259" s="6"/>
    </row>
    <row r="260" spans="3:3">
      <c r="C260" s="6"/>
    </row>
    <row r="261" spans="3:3">
      <c r="C261" s="6"/>
    </row>
    <row r="262" spans="3:3">
      <c r="C262" s="6"/>
    </row>
    <row r="263" spans="3:3">
      <c r="C263" s="6"/>
    </row>
  </sheetData>
  <sortState xmlns:xlrd2="http://schemas.microsoft.com/office/spreadsheetml/2017/richdata2" ref="A2:C133">
    <sortCondition ref="B2:B133"/>
    <sortCondition ref="C2:C133"/>
  </sortState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3CF4A-DA02-554E-975A-799F5C73A828}">
  <dimension ref="A1:A12"/>
  <sheetViews>
    <sheetView workbookViewId="0">
      <selection activeCell="A13" sqref="A13"/>
    </sheetView>
  </sheetViews>
  <sheetFormatPr baseColWidth="10" defaultRowHeight="15"/>
  <sheetData>
    <row r="1" spans="1:1" ht="16">
      <c r="A1" s="11" t="s">
        <v>22</v>
      </c>
    </row>
    <row r="2" spans="1:1">
      <c r="A2" s="10" t="s">
        <v>394</v>
      </c>
    </row>
    <row r="3" spans="1:1">
      <c r="A3" s="10" t="s">
        <v>393</v>
      </c>
    </row>
    <row r="4" spans="1:1">
      <c r="A4" s="10" t="s">
        <v>23</v>
      </c>
    </row>
    <row r="5" spans="1:1">
      <c r="A5" s="10" t="s">
        <v>24</v>
      </c>
    </row>
    <row r="6" spans="1:1">
      <c r="A6" s="10" t="s">
        <v>484</v>
      </c>
    </row>
    <row r="7" spans="1:1">
      <c r="A7" s="10" t="s">
        <v>392</v>
      </c>
    </row>
    <row r="8" spans="1:1">
      <c r="A8" s="10" t="s">
        <v>395</v>
      </c>
    </row>
    <row r="9" spans="1:1">
      <c r="A9" s="10" t="s">
        <v>25</v>
      </c>
    </row>
    <row r="10" spans="1:1">
      <c r="A10" s="10" t="s">
        <v>485</v>
      </c>
    </row>
    <row r="11" spans="1:1">
      <c r="A11" s="9" t="s">
        <v>364</v>
      </c>
    </row>
    <row r="12" spans="1:1">
      <c r="A12" s="9" t="s">
        <v>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1"/>
  <sheetViews>
    <sheetView zoomScale="158" workbookViewId="0">
      <selection activeCell="I31" sqref="I31"/>
    </sheetView>
  </sheetViews>
  <sheetFormatPr baseColWidth="10" defaultColWidth="9.5" defaultRowHeight="15"/>
  <cols>
    <col min="1" max="1" width="10" customWidth="1"/>
    <col min="2" max="2" width="12" customWidth="1"/>
    <col min="3" max="3" width="14.5" customWidth="1"/>
    <col min="4" max="4" width="22" customWidth="1"/>
    <col min="5" max="5" width="15.5" customWidth="1"/>
    <col min="6" max="6" width="10.33203125" customWidth="1"/>
    <col min="7" max="7" width="11.1640625" customWidth="1"/>
    <col min="8" max="8" width="13.5" customWidth="1"/>
    <col min="9" max="9" width="23.33203125" customWidth="1"/>
    <col min="10" max="10" width="9.6640625" customWidth="1"/>
    <col min="11" max="11" width="12.33203125" customWidth="1"/>
  </cols>
  <sheetData>
    <row r="1" spans="1:11" ht="16" thickBot="1">
      <c r="A1" s="5" t="s">
        <v>0</v>
      </c>
      <c r="B1" s="5" t="s">
        <v>391</v>
      </c>
      <c r="C1" s="5" t="s">
        <v>392</v>
      </c>
      <c r="D1" s="5" t="s">
        <v>484</v>
      </c>
      <c r="E1" s="5" t="s">
        <v>24</v>
      </c>
      <c r="F1" s="5" t="s">
        <v>25</v>
      </c>
      <c r="G1" s="5" t="s">
        <v>485</v>
      </c>
      <c r="H1" s="5" t="s">
        <v>393</v>
      </c>
      <c r="I1" s="5" t="s">
        <v>23</v>
      </c>
      <c r="J1" s="5" t="s">
        <v>394</v>
      </c>
      <c r="K1" s="5" t="s">
        <v>395</v>
      </c>
    </row>
    <row r="2" spans="1:11">
      <c r="A2" s="6">
        <v>1</v>
      </c>
      <c r="B2" s="6" t="s">
        <v>353</v>
      </c>
      <c r="C2" s="6" t="s">
        <v>396</v>
      </c>
      <c r="D2" s="6" t="s">
        <v>397</v>
      </c>
      <c r="E2" s="7" t="s">
        <v>471</v>
      </c>
      <c r="F2" s="6" t="s">
        <v>398</v>
      </c>
      <c r="G2" s="6" t="s">
        <v>399</v>
      </c>
      <c r="H2" s="6" t="s">
        <v>400</v>
      </c>
      <c r="I2" s="7" t="s">
        <v>509</v>
      </c>
      <c r="J2" s="6"/>
      <c r="K2" s="6"/>
    </row>
    <row r="3" spans="1:11">
      <c r="A3" s="6">
        <v>2</v>
      </c>
      <c r="B3" s="6" t="s">
        <v>352</v>
      </c>
      <c r="C3" s="6" t="s">
        <v>396</v>
      </c>
      <c r="D3" s="7" t="s">
        <v>486</v>
      </c>
      <c r="E3" s="6" t="s">
        <v>401</v>
      </c>
      <c r="F3" s="6" t="s">
        <v>398</v>
      </c>
      <c r="G3" s="6"/>
      <c r="H3" s="6" t="s">
        <v>400</v>
      </c>
      <c r="I3" s="7" t="s">
        <v>510</v>
      </c>
      <c r="J3" s="6"/>
      <c r="K3" s="6"/>
    </row>
    <row r="4" spans="1:11">
      <c r="A4" s="6">
        <v>3</v>
      </c>
      <c r="B4" s="6" t="s">
        <v>351</v>
      </c>
      <c r="C4" s="6" t="s">
        <v>402</v>
      </c>
      <c r="D4" s="7" t="s">
        <v>382</v>
      </c>
      <c r="E4" s="6" t="s">
        <v>401</v>
      </c>
      <c r="F4" s="6"/>
      <c r="G4" s="6" t="s">
        <v>389</v>
      </c>
      <c r="H4" s="6"/>
      <c r="I4" s="6" t="s">
        <v>403</v>
      </c>
      <c r="J4" s="6"/>
      <c r="K4" s="6"/>
    </row>
    <row r="5" spans="1:11">
      <c r="A5" s="6">
        <v>4</v>
      </c>
      <c r="B5" s="6" t="s">
        <v>404</v>
      </c>
      <c r="C5" s="6" t="s">
        <v>396</v>
      </c>
      <c r="D5" s="7" t="s">
        <v>487</v>
      </c>
      <c r="E5" s="6" t="s">
        <v>405</v>
      </c>
      <c r="F5" s="6"/>
      <c r="G5" s="6" t="s">
        <v>388</v>
      </c>
      <c r="H5" s="6" t="s">
        <v>406</v>
      </c>
      <c r="I5" s="6" t="s">
        <v>407</v>
      </c>
      <c r="J5" s="6"/>
      <c r="K5" s="6"/>
    </row>
    <row r="6" spans="1:11">
      <c r="A6" s="6">
        <v>5</v>
      </c>
      <c r="B6" s="6" t="s">
        <v>408</v>
      </c>
      <c r="C6" s="6" t="s">
        <v>409</v>
      </c>
      <c r="D6" s="6" t="s">
        <v>378</v>
      </c>
      <c r="E6" s="6" t="s">
        <v>410</v>
      </c>
      <c r="F6" s="6"/>
      <c r="G6" s="7" t="s">
        <v>501</v>
      </c>
      <c r="H6" s="6"/>
      <c r="I6" s="6" t="s">
        <v>411</v>
      </c>
      <c r="J6" s="6"/>
      <c r="K6" s="6"/>
    </row>
    <row r="7" spans="1:11">
      <c r="A7" s="6">
        <v>6</v>
      </c>
      <c r="B7" s="6" t="s">
        <v>412</v>
      </c>
      <c r="C7" s="6" t="s">
        <v>413</v>
      </c>
      <c r="D7" s="6"/>
      <c r="E7" s="7" t="s">
        <v>488</v>
      </c>
      <c r="F7" s="6" t="s">
        <v>414</v>
      </c>
      <c r="G7" s="7" t="s">
        <v>502</v>
      </c>
      <c r="H7" s="6" t="s">
        <v>415</v>
      </c>
      <c r="I7" s="6" t="s">
        <v>416</v>
      </c>
      <c r="J7" s="6" t="s">
        <v>417</v>
      </c>
      <c r="K7" s="6"/>
    </row>
    <row r="8" spans="1:11">
      <c r="A8" s="6">
        <v>7</v>
      </c>
      <c r="B8" s="6" t="s">
        <v>418</v>
      </c>
      <c r="C8" s="6" t="s">
        <v>413</v>
      </c>
      <c r="D8" s="6"/>
      <c r="E8" s="6" t="s">
        <v>419</v>
      </c>
      <c r="F8" s="6" t="s">
        <v>420</v>
      </c>
      <c r="G8" s="6"/>
      <c r="H8" s="7" t="s">
        <v>508</v>
      </c>
      <c r="I8" s="7" t="s">
        <v>511</v>
      </c>
      <c r="J8" s="6" t="s">
        <v>417</v>
      </c>
      <c r="K8" s="6"/>
    </row>
    <row r="9" spans="1:11">
      <c r="A9" s="6">
        <v>8</v>
      </c>
      <c r="B9" s="6" t="s">
        <v>354</v>
      </c>
      <c r="C9" s="6" t="s">
        <v>413</v>
      </c>
      <c r="D9" s="6" t="s">
        <v>375</v>
      </c>
      <c r="E9" s="6" t="s">
        <v>421</v>
      </c>
      <c r="F9" s="6" t="s">
        <v>420</v>
      </c>
      <c r="G9" s="6" t="s">
        <v>383</v>
      </c>
      <c r="H9" s="6" t="s">
        <v>422</v>
      </c>
      <c r="I9" s="6" t="s">
        <v>423</v>
      </c>
      <c r="J9" s="6" t="s">
        <v>417</v>
      </c>
      <c r="K9" s="6"/>
    </row>
    <row r="10" spans="1:11">
      <c r="A10" s="6">
        <v>9</v>
      </c>
      <c r="B10" s="6" t="s">
        <v>355</v>
      </c>
      <c r="C10" s="6" t="s">
        <v>413</v>
      </c>
      <c r="D10" s="6" t="s">
        <v>375</v>
      </c>
      <c r="E10" s="7" t="s">
        <v>489</v>
      </c>
      <c r="F10" s="6" t="s">
        <v>420</v>
      </c>
      <c r="G10" s="6" t="s">
        <v>383</v>
      </c>
      <c r="H10" s="7" t="s">
        <v>508</v>
      </c>
      <c r="I10" s="7" t="s">
        <v>512</v>
      </c>
      <c r="J10" s="6"/>
      <c r="K10" s="6"/>
    </row>
    <row r="11" spans="1:11">
      <c r="A11" s="6">
        <v>10</v>
      </c>
      <c r="B11" s="6" t="s">
        <v>356</v>
      </c>
      <c r="C11" s="6" t="s">
        <v>413</v>
      </c>
      <c r="D11" s="6" t="s">
        <v>424</v>
      </c>
      <c r="E11" s="7" t="s">
        <v>490</v>
      </c>
      <c r="F11" s="6" t="s">
        <v>420</v>
      </c>
      <c r="G11" s="6" t="s">
        <v>425</v>
      </c>
      <c r="H11" s="7" t="s">
        <v>507</v>
      </c>
      <c r="I11" s="7" t="s">
        <v>513</v>
      </c>
      <c r="J11" s="6" t="s">
        <v>417</v>
      </c>
      <c r="K11" s="6"/>
    </row>
    <row r="12" spans="1:11">
      <c r="A12" s="6">
        <v>11</v>
      </c>
      <c r="B12" s="6" t="s">
        <v>357</v>
      </c>
      <c r="C12" s="6" t="s">
        <v>413</v>
      </c>
      <c r="D12" s="6" t="s">
        <v>426</v>
      </c>
      <c r="E12" s="7" t="s">
        <v>491</v>
      </c>
      <c r="F12" s="6" t="s">
        <v>420</v>
      </c>
      <c r="G12" s="6" t="s">
        <v>427</v>
      </c>
      <c r="H12" s="6" t="s">
        <v>422</v>
      </c>
      <c r="I12" s="6" t="s">
        <v>416</v>
      </c>
      <c r="J12" s="6" t="s">
        <v>417</v>
      </c>
      <c r="K12" s="6"/>
    </row>
    <row r="13" spans="1:11">
      <c r="A13" s="6">
        <v>12</v>
      </c>
      <c r="B13" s="6" t="s">
        <v>358</v>
      </c>
      <c r="C13" s="7" t="s">
        <v>477</v>
      </c>
      <c r="D13" s="6" t="s">
        <v>428</v>
      </c>
      <c r="E13" s="51" t="s">
        <v>1183</v>
      </c>
      <c r="F13" s="6"/>
      <c r="G13" s="6" t="s">
        <v>429</v>
      </c>
      <c r="H13" s="6"/>
      <c r="I13" s="7" t="s">
        <v>514</v>
      </c>
      <c r="J13" s="7" t="s">
        <v>528</v>
      </c>
      <c r="K13" s="6"/>
    </row>
    <row r="14" spans="1:11">
      <c r="A14" s="6">
        <v>13</v>
      </c>
      <c r="B14" s="6" t="s">
        <v>359</v>
      </c>
      <c r="C14" s="7" t="s">
        <v>477</v>
      </c>
      <c r="D14" s="6" t="s">
        <v>430</v>
      </c>
      <c r="E14" s="6" t="s">
        <v>431</v>
      </c>
      <c r="F14" s="6" t="s">
        <v>432</v>
      </c>
      <c r="G14" s="6" t="s">
        <v>433</v>
      </c>
      <c r="H14" s="6"/>
      <c r="I14" s="7" t="s">
        <v>515</v>
      </c>
      <c r="J14" s="6" t="s">
        <v>434</v>
      </c>
      <c r="K14" s="6"/>
    </row>
    <row r="15" spans="1:11">
      <c r="A15" s="6">
        <v>14</v>
      </c>
      <c r="B15" s="6" t="s">
        <v>360</v>
      </c>
      <c r="C15" s="6"/>
      <c r="D15" s="6"/>
      <c r="E15" s="7" t="s">
        <v>492</v>
      </c>
      <c r="F15" s="6" t="s">
        <v>432</v>
      </c>
      <c r="G15" s="6"/>
      <c r="H15" s="6" t="s">
        <v>435</v>
      </c>
      <c r="I15" s="7" t="s">
        <v>516</v>
      </c>
      <c r="J15" s="6"/>
      <c r="K15" s="6"/>
    </row>
    <row r="16" spans="1:11">
      <c r="A16" s="6">
        <v>15</v>
      </c>
      <c r="B16" s="6" t="s">
        <v>361</v>
      </c>
      <c r="C16" s="6" t="s">
        <v>436</v>
      </c>
      <c r="D16" s="6" t="s">
        <v>378</v>
      </c>
      <c r="E16" s="7" t="s">
        <v>493</v>
      </c>
      <c r="F16" s="6" t="s">
        <v>437</v>
      </c>
      <c r="G16" s="7" t="s">
        <v>501</v>
      </c>
      <c r="H16" s="6" t="s">
        <v>435</v>
      </c>
      <c r="I16" s="7" t="s">
        <v>517</v>
      </c>
      <c r="J16" s="6"/>
      <c r="K16" s="6"/>
    </row>
    <row r="17" spans="1:11">
      <c r="A17" s="6">
        <v>16</v>
      </c>
      <c r="B17" s="6" t="s">
        <v>362</v>
      </c>
      <c r="C17" s="6" t="s">
        <v>436</v>
      </c>
      <c r="D17" s="6" t="s">
        <v>438</v>
      </c>
      <c r="E17" s="7" t="s">
        <v>493</v>
      </c>
      <c r="F17" s="6" t="s">
        <v>437</v>
      </c>
      <c r="G17" s="6"/>
      <c r="H17" s="6"/>
      <c r="I17" s="7" t="s">
        <v>518</v>
      </c>
      <c r="J17" s="6" t="s">
        <v>439</v>
      </c>
      <c r="K17" s="6"/>
    </row>
    <row r="18" spans="1:11">
      <c r="A18" s="6">
        <v>17</v>
      </c>
      <c r="B18" s="6" t="s">
        <v>363</v>
      </c>
      <c r="C18" s="6" t="s">
        <v>436</v>
      </c>
      <c r="D18" s="7" t="s">
        <v>483</v>
      </c>
      <c r="E18" s="7" t="s">
        <v>494</v>
      </c>
      <c r="F18" s="6" t="s">
        <v>437</v>
      </c>
      <c r="G18" s="6" t="s">
        <v>440</v>
      </c>
      <c r="H18" s="6" t="s">
        <v>441</v>
      </c>
      <c r="I18" s="7" t="s">
        <v>519</v>
      </c>
      <c r="J18" s="6" t="s">
        <v>439</v>
      </c>
      <c r="K18" s="6"/>
    </row>
    <row r="19" spans="1:11">
      <c r="A19" s="6">
        <v>18</v>
      </c>
      <c r="B19" s="6" t="s">
        <v>347</v>
      </c>
      <c r="C19" s="7" t="s">
        <v>478</v>
      </c>
      <c r="D19" s="6" t="s">
        <v>442</v>
      </c>
      <c r="E19" s="6" t="s">
        <v>443</v>
      </c>
      <c r="F19" s="6"/>
      <c r="G19" s="6" t="s">
        <v>444</v>
      </c>
      <c r="H19" s="6" t="s">
        <v>445</v>
      </c>
      <c r="I19" s="7" t="s">
        <v>520</v>
      </c>
      <c r="J19" s="6" t="s">
        <v>446</v>
      </c>
      <c r="K19" s="6"/>
    </row>
    <row r="20" spans="1:11">
      <c r="A20" s="6">
        <v>19</v>
      </c>
      <c r="B20" s="6" t="s">
        <v>348</v>
      </c>
      <c r="C20" s="7" t="s">
        <v>478</v>
      </c>
      <c r="D20" s="6" t="s">
        <v>442</v>
      </c>
      <c r="E20" s="7" t="s">
        <v>495</v>
      </c>
      <c r="F20" s="6" t="s">
        <v>447</v>
      </c>
      <c r="G20" s="6" t="s">
        <v>444</v>
      </c>
      <c r="H20" s="6" t="s">
        <v>445</v>
      </c>
      <c r="I20" s="7" t="s">
        <v>521</v>
      </c>
      <c r="J20" s="6" t="s">
        <v>446</v>
      </c>
      <c r="K20" s="6" t="s">
        <v>448</v>
      </c>
    </row>
    <row r="21" spans="1:11">
      <c r="A21" s="6">
        <v>20</v>
      </c>
      <c r="B21" s="6" t="s">
        <v>349</v>
      </c>
      <c r="C21" s="7" t="s">
        <v>478</v>
      </c>
      <c r="D21" s="6" t="s">
        <v>449</v>
      </c>
      <c r="E21" s="7" t="s">
        <v>495</v>
      </c>
      <c r="F21" s="6" t="s">
        <v>447</v>
      </c>
      <c r="G21" s="6" t="s">
        <v>450</v>
      </c>
      <c r="H21" s="6" t="s">
        <v>445</v>
      </c>
      <c r="I21" s="7" t="s">
        <v>522</v>
      </c>
      <c r="J21" s="6" t="s">
        <v>446</v>
      </c>
      <c r="K21" s="6" t="s">
        <v>448</v>
      </c>
    </row>
    <row r="22" spans="1:11">
      <c r="A22" s="6">
        <v>21</v>
      </c>
      <c r="B22" s="6" t="s">
        <v>350</v>
      </c>
      <c r="C22" s="7" t="s">
        <v>478</v>
      </c>
      <c r="D22" s="6" t="s">
        <v>449</v>
      </c>
      <c r="E22" s="6" t="s">
        <v>451</v>
      </c>
      <c r="F22" s="6" t="s">
        <v>447</v>
      </c>
      <c r="G22" s="6" t="s">
        <v>450</v>
      </c>
      <c r="H22" s="6" t="s">
        <v>445</v>
      </c>
      <c r="I22" s="7" t="s">
        <v>523</v>
      </c>
      <c r="J22" s="6" t="s">
        <v>446</v>
      </c>
      <c r="K22" s="6" t="s">
        <v>448</v>
      </c>
    </row>
    <row r="23" spans="1:11">
      <c r="A23" s="6">
        <v>22</v>
      </c>
      <c r="B23" s="6" t="s">
        <v>452</v>
      </c>
      <c r="C23" s="7" t="s">
        <v>479</v>
      </c>
      <c r="D23" s="6" t="s">
        <v>453</v>
      </c>
      <c r="E23" s="7" t="s">
        <v>496</v>
      </c>
      <c r="F23" s="6" t="s">
        <v>437</v>
      </c>
      <c r="G23" s="6" t="s">
        <v>454</v>
      </c>
      <c r="H23" s="6" t="s">
        <v>435</v>
      </c>
      <c r="I23" s="7" t="s">
        <v>524</v>
      </c>
      <c r="J23" s="6"/>
      <c r="K23" s="6"/>
    </row>
    <row r="24" spans="1:11">
      <c r="A24" s="6">
        <v>23</v>
      </c>
      <c r="B24" s="6" t="s">
        <v>455</v>
      </c>
      <c r="C24" s="6" t="s">
        <v>436</v>
      </c>
      <c r="D24" s="6" t="s">
        <v>438</v>
      </c>
      <c r="E24" s="7" t="s">
        <v>497</v>
      </c>
      <c r="F24" s="6" t="s">
        <v>437</v>
      </c>
      <c r="G24" s="6" t="s">
        <v>456</v>
      </c>
      <c r="H24" s="7" t="s">
        <v>506</v>
      </c>
      <c r="I24" s="7" t="s">
        <v>457</v>
      </c>
      <c r="J24" s="6" t="s">
        <v>439</v>
      </c>
      <c r="K24" s="6"/>
    </row>
    <row r="25" spans="1:11">
      <c r="A25" s="6">
        <v>24</v>
      </c>
      <c r="B25" s="6" t="s">
        <v>341</v>
      </c>
      <c r="C25" s="6" t="s">
        <v>436</v>
      </c>
      <c r="D25" s="7" t="s">
        <v>482</v>
      </c>
      <c r="E25" s="7" t="s">
        <v>498</v>
      </c>
      <c r="F25" s="6" t="s">
        <v>437</v>
      </c>
      <c r="G25" s="6" t="s">
        <v>456</v>
      </c>
      <c r="H25" s="7" t="s">
        <v>505</v>
      </c>
      <c r="I25" s="7" t="s">
        <v>518</v>
      </c>
      <c r="J25" s="6" t="s">
        <v>439</v>
      </c>
      <c r="K25" s="6"/>
    </row>
    <row r="26" spans="1:11">
      <c r="A26" s="6">
        <v>25</v>
      </c>
      <c r="B26" s="6" t="s">
        <v>342</v>
      </c>
      <c r="C26" s="6" t="s">
        <v>436</v>
      </c>
      <c r="D26" s="7" t="s">
        <v>483</v>
      </c>
      <c r="E26" s="7" t="s">
        <v>499</v>
      </c>
      <c r="F26" s="6"/>
      <c r="G26" s="6"/>
      <c r="H26" s="6" t="s">
        <v>441</v>
      </c>
      <c r="I26" s="6" t="s">
        <v>458</v>
      </c>
      <c r="J26" s="6" t="s">
        <v>459</v>
      </c>
      <c r="K26" s="6"/>
    </row>
    <row r="27" spans="1:11">
      <c r="A27" s="6">
        <v>26</v>
      </c>
      <c r="B27" s="6" t="s">
        <v>343</v>
      </c>
      <c r="C27" s="7" t="s">
        <v>480</v>
      </c>
      <c r="D27" s="6" t="s">
        <v>460</v>
      </c>
      <c r="E27" s="6" t="s">
        <v>461</v>
      </c>
      <c r="F27" s="6"/>
      <c r="G27" s="7" t="s">
        <v>503</v>
      </c>
      <c r="H27" s="6" t="s">
        <v>441</v>
      </c>
      <c r="I27" s="6"/>
      <c r="J27" s="6" t="s">
        <v>459</v>
      </c>
      <c r="K27" s="6"/>
    </row>
    <row r="28" spans="1:11">
      <c r="A28" s="6">
        <v>27</v>
      </c>
      <c r="B28" s="6" t="s">
        <v>344</v>
      </c>
      <c r="C28" s="7" t="s">
        <v>480</v>
      </c>
      <c r="D28" s="6" t="s">
        <v>462</v>
      </c>
      <c r="E28" s="6"/>
      <c r="F28" s="6" t="s">
        <v>463</v>
      </c>
      <c r="G28" s="6" t="s">
        <v>464</v>
      </c>
      <c r="H28" s="6"/>
      <c r="I28" s="6"/>
      <c r="J28" s="6" t="s">
        <v>459</v>
      </c>
      <c r="K28" s="6"/>
    </row>
    <row r="29" spans="1:11">
      <c r="A29" s="6">
        <v>28</v>
      </c>
      <c r="B29" s="6" t="s">
        <v>345</v>
      </c>
      <c r="C29" s="7" t="s">
        <v>480</v>
      </c>
      <c r="D29" s="7" t="s">
        <v>481</v>
      </c>
      <c r="E29" s="6" t="s">
        <v>465</v>
      </c>
      <c r="F29" s="6" t="s">
        <v>463</v>
      </c>
      <c r="G29" s="7" t="s">
        <v>504</v>
      </c>
      <c r="H29" s="6" t="s">
        <v>466</v>
      </c>
      <c r="I29" s="7" t="s">
        <v>525</v>
      </c>
      <c r="J29" s="7" t="s">
        <v>527</v>
      </c>
      <c r="K29" s="6"/>
    </row>
    <row r="30" spans="1:11">
      <c r="A30" s="6">
        <v>29</v>
      </c>
      <c r="B30" s="6" t="s">
        <v>346</v>
      </c>
      <c r="C30" s="7" t="s">
        <v>480</v>
      </c>
      <c r="D30" s="6" t="s">
        <v>467</v>
      </c>
      <c r="E30" s="6" t="s">
        <v>465</v>
      </c>
      <c r="F30" s="6" t="s">
        <v>463</v>
      </c>
      <c r="G30" s="6" t="s">
        <v>468</v>
      </c>
      <c r="H30" s="6" t="s">
        <v>466</v>
      </c>
      <c r="I30" s="7" t="s">
        <v>525</v>
      </c>
      <c r="J30" s="6" t="s">
        <v>469</v>
      </c>
      <c r="K30" s="6"/>
    </row>
    <row r="31" spans="1:11">
      <c r="A31" s="6">
        <v>30</v>
      </c>
      <c r="B31" s="6" t="s">
        <v>470</v>
      </c>
      <c r="C31" s="7" t="s">
        <v>478</v>
      </c>
      <c r="D31" s="6"/>
      <c r="E31" s="7" t="s">
        <v>500</v>
      </c>
      <c r="F31" s="6"/>
      <c r="G31" s="6"/>
      <c r="H31" s="6" t="s">
        <v>466</v>
      </c>
      <c r="I31" s="7" t="s">
        <v>526</v>
      </c>
      <c r="J31" s="6"/>
      <c r="K31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3"/>
  <sheetViews>
    <sheetView topLeftCell="A10" zoomScale="173" workbookViewId="0">
      <selection activeCell="F3" sqref="F3"/>
    </sheetView>
  </sheetViews>
  <sheetFormatPr baseColWidth="10" defaultColWidth="9.5" defaultRowHeight="15"/>
  <cols>
    <col min="2" max="3" width="10" customWidth="1"/>
    <col min="4" max="4" width="15.33203125" customWidth="1"/>
    <col min="5" max="5" width="19.33203125" customWidth="1"/>
    <col min="6" max="6" width="14" customWidth="1"/>
    <col min="7" max="7" width="10.83203125" customWidth="1"/>
    <col min="8" max="8" width="10" customWidth="1"/>
    <col min="9" max="9" width="11" customWidth="1"/>
    <col min="10" max="11" width="10" customWidth="1"/>
    <col min="12" max="12" width="14" customWidth="1"/>
    <col min="13" max="13" width="19.5" customWidth="1"/>
    <col min="14" max="14" width="18" customWidth="1"/>
    <col min="15" max="15" width="14" customWidth="1"/>
    <col min="16" max="16" width="16" customWidth="1"/>
    <col min="17" max="18" width="10" customWidth="1"/>
  </cols>
  <sheetData>
    <row r="1" spans="1:18" ht="16">
      <c r="A1" s="9" t="s">
        <v>578</v>
      </c>
      <c r="B1" s="1" t="s">
        <v>26</v>
      </c>
      <c r="C1" s="1" t="s">
        <v>27</v>
      </c>
      <c r="D1" s="4" t="s">
        <v>576</v>
      </c>
      <c r="E1" s="1" t="s">
        <v>28</v>
      </c>
      <c r="F1" s="4" t="s">
        <v>29</v>
      </c>
      <c r="G1" s="1" t="s">
        <v>30</v>
      </c>
      <c r="H1" s="4" t="s">
        <v>579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16">
      <c r="A2" t="str">
        <f>C2&amp;"-"&amp;ROW()-1</f>
        <v>F35-1</v>
      </c>
      <c r="B2" s="2">
        <v>1</v>
      </c>
      <c r="C2" s="3" t="s">
        <v>338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6">
      <c r="A3" t="str">
        <f t="shared" ref="A3:A33" si="0">C3&amp;"-"&amp;ROW()-1</f>
        <v>F35-2</v>
      </c>
      <c r="B3" s="2">
        <v>2</v>
      </c>
      <c r="C3" s="3" t="s">
        <v>338</v>
      </c>
      <c r="D3" s="3" t="str">
        <f>A2</f>
        <v>F35-1</v>
      </c>
      <c r="E3" s="2" t="s">
        <v>41</v>
      </c>
      <c r="F3" s="2" t="s">
        <v>42</v>
      </c>
      <c r="G3" s="2">
        <v>2</v>
      </c>
      <c r="H3" s="2">
        <v>1</v>
      </c>
      <c r="I3" s="2"/>
      <c r="J3" s="2"/>
      <c r="K3" s="2"/>
      <c r="L3" s="2"/>
      <c r="M3" s="2"/>
      <c r="N3" s="2"/>
      <c r="O3" s="2" t="s">
        <v>5</v>
      </c>
      <c r="P3" s="2"/>
      <c r="Q3" s="2"/>
      <c r="R3" s="2"/>
    </row>
    <row r="4" spans="1:18" ht="16">
      <c r="A4" t="str">
        <f t="shared" si="0"/>
        <v>F35-3</v>
      </c>
      <c r="B4" s="2">
        <v>3</v>
      </c>
      <c r="C4" s="3" t="s">
        <v>338</v>
      </c>
      <c r="D4" s="2" t="str">
        <f>A3</f>
        <v>F35-2</v>
      </c>
      <c r="E4" s="2" t="s">
        <v>43</v>
      </c>
      <c r="F4" s="2" t="s">
        <v>44</v>
      </c>
      <c r="G4" s="2">
        <v>2</v>
      </c>
      <c r="H4" s="2">
        <v>1</v>
      </c>
      <c r="I4" s="2">
        <v>1</v>
      </c>
      <c r="J4" s="2">
        <v>1.1999999999999999E-3</v>
      </c>
      <c r="K4" s="2"/>
      <c r="L4" s="3" t="s">
        <v>580</v>
      </c>
      <c r="M4" s="2"/>
      <c r="N4" s="3" t="s">
        <v>580</v>
      </c>
      <c r="O4" s="2" t="s">
        <v>5</v>
      </c>
      <c r="P4" s="2"/>
      <c r="Q4" s="2"/>
      <c r="R4" s="2"/>
    </row>
    <row r="5" spans="1:18" ht="16">
      <c r="A5" t="str">
        <f t="shared" si="0"/>
        <v>F35-4</v>
      </c>
      <c r="B5" s="2">
        <v>3</v>
      </c>
      <c r="C5" s="3" t="s">
        <v>338</v>
      </c>
      <c r="D5" s="2" t="str">
        <f>A3</f>
        <v>F35-2</v>
      </c>
      <c r="E5" s="2" t="s">
        <v>45</v>
      </c>
      <c r="F5" s="2" t="s">
        <v>46</v>
      </c>
      <c r="G5" s="2">
        <v>1</v>
      </c>
      <c r="H5" s="2"/>
      <c r="I5" s="2">
        <v>1</v>
      </c>
      <c r="J5" s="2">
        <v>8.0000000000000004E-4</v>
      </c>
      <c r="K5" s="2"/>
      <c r="L5" s="3" t="s">
        <v>580</v>
      </c>
      <c r="M5" s="2"/>
      <c r="N5" s="3" t="s">
        <v>580</v>
      </c>
      <c r="O5" s="2" t="s">
        <v>5</v>
      </c>
      <c r="P5" s="2"/>
      <c r="Q5" s="2"/>
      <c r="R5" s="2"/>
    </row>
    <row r="6" spans="1:18" ht="16">
      <c r="A6" t="str">
        <f t="shared" si="0"/>
        <v>F35-5</v>
      </c>
      <c r="B6" s="2">
        <v>3</v>
      </c>
      <c r="C6" s="3" t="s">
        <v>338</v>
      </c>
      <c r="D6" s="2" t="str">
        <f>A3</f>
        <v>F35-2</v>
      </c>
      <c r="E6" s="2" t="s">
        <v>47</v>
      </c>
      <c r="F6" s="2" t="s">
        <v>48</v>
      </c>
      <c r="G6" s="2">
        <v>1</v>
      </c>
      <c r="H6" s="2"/>
      <c r="I6" s="2">
        <v>1</v>
      </c>
      <c r="J6" s="2">
        <v>1E-3</v>
      </c>
      <c r="K6" s="2"/>
      <c r="L6" s="3" t="s">
        <v>580</v>
      </c>
      <c r="M6" s="2"/>
      <c r="N6" s="3" t="s">
        <v>580</v>
      </c>
      <c r="O6" s="2" t="s">
        <v>5</v>
      </c>
      <c r="P6" s="2"/>
      <c r="Q6" s="2"/>
      <c r="R6" s="2"/>
    </row>
    <row r="7" spans="1:18" ht="16">
      <c r="A7" t="str">
        <f t="shared" si="0"/>
        <v>F35-6</v>
      </c>
      <c r="B7" s="2">
        <v>2</v>
      </c>
      <c r="C7" s="3" t="s">
        <v>338</v>
      </c>
      <c r="D7" s="3" t="str">
        <f>A2</f>
        <v>F35-1</v>
      </c>
      <c r="E7" s="2" t="s">
        <v>49</v>
      </c>
      <c r="F7" s="2" t="s">
        <v>50</v>
      </c>
      <c r="G7" s="2">
        <v>2</v>
      </c>
      <c r="H7" s="2">
        <v>1</v>
      </c>
      <c r="I7" s="2"/>
      <c r="J7" s="13"/>
      <c r="K7" s="2"/>
      <c r="L7" s="2"/>
      <c r="M7" s="2"/>
      <c r="N7" s="2"/>
      <c r="O7" s="2" t="s">
        <v>5</v>
      </c>
      <c r="P7" s="2"/>
      <c r="Q7" s="2"/>
      <c r="R7" s="2"/>
    </row>
    <row r="8" spans="1:18" ht="16">
      <c r="A8" t="str">
        <f t="shared" si="0"/>
        <v>F35-7</v>
      </c>
      <c r="B8" s="2">
        <v>3</v>
      </c>
      <c r="C8" s="3" t="s">
        <v>338</v>
      </c>
      <c r="D8" s="2" t="str">
        <f>A7</f>
        <v>F35-6</v>
      </c>
      <c r="E8" s="2" t="s">
        <v>51</v>
      </c>
      <c r="F8" s="2" t="s">
        <v>52</v>
      </c>
      <c r="G8" s="2">
        <v>1</v>
      </c>
      <c r="H8" s="2"/>
      <c r="I8" s="2">
        <v>1</v>
      </c>
      <c r="J8" s="2">
        <v>2.5000000000000001E-3</v>
      </c>
      <c r="K8" s="2"/>
      <c r="L8" s="3" t="s">
        <v>580</v>
      </c>
      <c r="M8" s="2"/>
      <c r="N8" s="3" t="s">
        <v>580</v>
      </c>
      <c r="O8" s="2" t="s">
        <v>5</v>
      </c>
      <c r="P8" s="2"/>
      <c r="Q8" s="2"/>
      <c r="R8" s="2"/>
    </row>
    <row r="9" spans="1:18" ht="16">
      <c r="A9" t="str">
        <f t="shared" si="0"/>
        <v>F35-8</v>
      </c>
      <c r="B9" s="2">
        <v>3</v>
      </c>
      <c r="C9" s="3" t="s">
        <v>338</v>
      </c>
      <c r="D9" s="2" t="str">
        <f>A7</f>
        <v>F35-6</v>
      </c>
      <c r="E9" s="2" t="s">
        <v>53</v>
      </c>
      <c r="F9" s="2" t="s">
        <v>54</v>
      </c>
      <c r="G9" s="2">
        <v>1</v>
      </c>
      <c r="H9" s="2"/>
      <c r="I9" s="2">
        <v>1</v>
      </c>
      <c r="J9" s="2">
        <v>1.9E-3</v>
      </c>
      <c r="K9" s="2"/>
      <c r="L9" s="3" t="s">
        <v>580</v>
      </c>
      <c r="M9" s="2"/>
      <c r="N9" s="3" t="s">
        <v>580</v>
      </c>
      <c r="O9" s="2" t="s">
        <v>5</v>
      </c>
      <c r="P9" s="2"/>
      <c r="Q9" s="2"/>
      <c r="R9" s="2"/>
    </row>
    <row r="10" spans="1:18" ht="16">
      <c r="A10" t="str">
        <f t="shared" si="0"/>
        <v>F35-9</v>
      </c>
      <c r="B10" s="2">
        <v>2</v>
      </c>
      <c r="C10" s="3" t="s">
        <v>338</v>
      </c>
      <c r="D10" s="3" t="str">
        <f>A2</f>
        <v>F35-1</v>
      </c>
      <c r="E10" s="2" t="s">
        <v>55</v>
      </c>
      <c r="F10" s="2" t="s">
        <v>56</v>
      </c>
      <c r="G10" s="2">
        <v>1</v>
      </c>
      <c r="H10" s="2"/>
      <c r="I10" s="2"/>
      <c r="J10" s="13"/>
      <c r="K10" s="2"/>
      <c r="L10" s="2"/>
      <c r="M10" s="2"/>
      <c r="N10" s="2"/>
      <c r="O10" s="2" t="s">
        <v>5</v>
      </c>
      <c r="P10" s="2"/>
      <c r="Q10" s="2"/>
      <c r="R10" s="2"/>
    </row>
    <row r="11" spans="1:18" ht="16">
      <c r="A11" t="str">
        <f t="shared" si="0"/>
        <v>F35-10</v>
      </c>
      <c r="B11" s="2">
        <v>3</v>
      </c>
      <c r="C11" s="3" t="s">
        <v>338</v>
      </c>
      <c r="D11" s="2" t="str">
        <f>A10</f>
        <v>F35-9</v>
      </c>
      <c r="E11" s="2" t="s">
        <v>57</v>
      </c>
      <c r="F11" s="2" t="s">
        <v>58</v>
      </c>
      <c r="G11" s="2">
        <v>1</v>
      </c>
      <c r="H11" s="2"/>
      <c r="I11" s="2">
        <v>1</v>
      </c>
      <c r="J11" s="2">
        <v>1.6000000000000001E-3</v>
      </c>
      <c r="K11" s="2"/>
      <c r="L11" s="3" t="s">
        <v>580</v>
      </c>
      <c r="M11" s="2"/>
      <c r="N11" s="3" t="s">
        <v>580</v>
      </c>
      <c r="O11" s="2" t="s">
        <v>5</v>
      </c>
      <c r="P11" s="2"/>
      <c r="Q11" s="2"/>
      <c r="R11" s="2"/>
    </row>
    <row r="12" spans="1:18" ht="16">
      <c r="A12" t="str">
        <f t="shared" si="0"/>
        <v>F35-11</v>
      </c>
      <c r="B12" s="2">
        <v>3</v>
      </c>
      <c r="C12" s="3" t="s">
        <v>338</v>
      </c>
      <c r="D12" s="2" t="str">
        <f>A10</f>
        <v>F35-9</v>
      </c>
      <c r="E12" s="2" t="s">
        <v>59</v>
      </c>
      <c r="F12" s="2" t="s">
        <v>60</v>
      </c>
      <c r="G12" s="2">
        <v>1</v>
      </c>
      <c r="H12" s="2"/>
      <c r="I12" s="2">
        <v>1</v>
      </c>
      <c r="J12" s="2">
        <v>1.1000000000000001E-3</v>
      </c>
      <c r="K12" s="2"/>
      <c r="L12" s="3" t="s">
        <v>580</v>
      </c>
      <c r="M12" s="2"/>
      <c r="N12" s="3" t="s">
        <v>580</v>
      </c>
      <c r="O12" s="2" t="s">
        <v>5</v>
      </c>
      <c r="P12" s="2"/>
      <c r="Q12" s="2"/>
      <c r="R12" s="2"/>
    </row>
    <row r="13" spans="1:18" ht="16">
      <c r="A13" t="str">
        <f t="shared" si="0"/>
        <v>Z20-12</v>
      </c>
      <c r="B13" s="2">
        <v>1</v>
      </c>
      <c r="C13" s="3" t="s">
        <v>339</v>
      </c>
      <c r="D13" s="2"/>
      <c r="E13" s="2"/>
      <c r="F13" s="2"/>
      <c r="G13" s="2"/>
      <c r="H13" s="2"/>
      <c r="I13" s="2"/>
      <c r="J13" s="13"/>
      <c r="K13" s="2"/>
      <c r="L13" s="2"/>
      <c r="M13" s="2"/>
      <c r="N13" s="2"/>
      <c r="O13" s="2"/>
      <c r="P13" s="2"/>
      <c r="Q13" s="2"/>
      <c r="R13" s="2"/>
    </row>
    <row r="14" spans="1:18" ht="16">
      <c r="A14" t="str">
        <f t="shared" si="0"/>
        <v>Z20-13</v>
      </c>
      <c r="B14" s="2">
        <v>2</v>
      </c>
      <c r="C14" s="3" t="s">
        <v>339</v>
      </c>
      <c r="D14" s="3" t="str">
        <f>A13</f>
        <v>Z20-12</v>
      </c>
      <c r="E14" s="2" t="s">
        <v>61</v>
      </c>
      <c r="F14" s="2" t="s">
        <v>62</v>
      </c>
      <c r="G14" s="2">
        <v>1</v>
      </c>
      <c r="H14" s="2"/>
      <c r="I14" s="2"/>
      <c r="J14" s="13"/>
      <c r="K14" s="2"/>
      <c r="L14" s="2"/>
      <c r="M14" s="2"/>
      <c r="N14" s="2"/>
      <c r="O14" s="2" t="s">
        <v>5</v>
      </c>
      <c r="P14" s="2"/>
      <c r="Q14" s="2"/>
      <c r="R14" s="2"/>
    </row>
    <row r="15" spans="1:18" ht="16">
      <c r="A15" t="str">
        <f t="shared" si="0"/>
        <v>Z20-14</v>
      </c>
      <c r="B15" s="2">
        <v>3</v>
      </c>
      <c r="C15" s="3" t="s">
        <v>339</v>
      </c>
      <c r="D15" s="2" t="str">
        <f>A14</f>
        <v>Z20-13</v>
      </c>
      <c r="E15" s="2" t="s">
        <v>63</v>
      </c>
      <c r="F15" s="2" t="s">
        <v>64</v>
      </c>
      <c r="G15" s="2">
        <v>1</v>
      </c>
      <c r="H15" s="2"/>
      <c r="I15" s="2">
        <v>1</v>
      </c>
      <c r="J15" s="2">
        <v>1.5E-3</v>
      </c>
      <c r="K15" s="2"/>
      <c r="L15" s="3" t="s">
        <v>580</v>
      </c>
      <c r="M15" s="2"/>
      <c r="N15" s="3" t="s">
        <v>580</v>
      </c>
      <c r="O15" s="2" t="s">
        <v>5</v>
      </c>
      <c r="P15" s="2"/>
      <c r="Q15" s="2"/>
      <c r="R15" s="2"/>
    </row>
    <row r="16" spans="1:18" ht="16">
      <c r="A16" t="str">
        <f t="shared" si="0"/>
        <v>Z20-15</v>
      </c>
      <c r="B16" s="2">
        <v>3</v>
      </c>
      <c r="C16" s="3" t="s">
        <v>339</v>
      </c>
      <c r="D16" s="2" t="str">
        <f>A14</f>
        <v>Z20-13</v>
      </c>
      <c r="E16" s="2" t="s">
        <v>65</v>
      </c>
      <c r="F16" s="2" t="s">
        <v>66</v>
      </c>
      <c r="G16" s="2">
        <v>1</v>
      </c>
      <c r="H16" s="2"/>
      <c r="I16" s="2">
        <v>1</v>
      </c>
      <c r="J16" s="2">
        <v>1.6999999999999999E-3</v>
      </c>
      <c r="K16" s="2"/>
      <c r="L16" s="3" t="s">
        <v>580</v>
      </c>
      <c r="M16" s="2"/>
      <c r="N16" s="3" t="s">
        <v>580</v>
      </c>
      <c r="O16" s="2" t="s">
        <v>5</v>
      </c>
      <c r="P16" s="2"/>
      <c r="Q16" s="2"/>
      <c r="R16" s="2"/>
    </row>
    <row r="17" spans="1:18" ht="16">
      <c r="A17" t="str">
        <f t="shared" si="0"/>
        <v>Z20-16</v>
      </c>
      <c r="B17" s="2">
        <v>2</v>
      </c>
      <c r="C17" s="3" t="s">
        <v>339</v>
      </c>
      <c r="D17" s="2" t="str">
        <f>A13</f>
        <v>Z20-12</v>
      </c>
      <c r="E17" s="2" t="s">
        <v>67</v>
      </c>
      <c r="F17" s="2" t="s">
        <v>68</v>
      </c>
      <c r="G17" s="2">
        <v>2</v>
      </c>
      <c r="H17" s="2"/>
      <c r="I17" s="2"/>
      <c r="J17" s="13"/>
      <c r="K17" s="2"/>
      <c r="L17" s="2"/>
      <c r="M17" s="2"/>
      <c r="N17" s="2"/>
      <c r="O17" s="2" t="s">
        <v>5</v>
      </c>
      <c r="P17" s="2"/>
      <c r="Q17" s="2"/>
      <c r="R17" s="2"/>
    </row>
    <row r="18" spans="1:18" ht="16">
      <c r="A18" t="str">
        <f t="shared" si="0"/>
        <v>Z20-17</v>
      </c>
      <c r="B18" s="2">
        <v>3</v>
      </c>
      <c r="C18" s="3" t="s">
        <v>339</v>
      </c>
      <c r="D18" s="2" t="str">
        <f>A17</f>
        <v>Z20-16</v>
      </c>
      <c r="E18" s="2" t="s">
        <v>69</v>
      </c>
      <c r="F18" s="2" t="s">
        <v>70</v>
      </c>
      <c r="G18" s="2">
        <v>1</v>
      </c>
      <c r="H18" s="2"/>
      <c r="I18" s="2">
        <v>1</v>
      </c>
      <c r="J18" s="2">
        <v>2.0999999999999999E-3</v>
      </c>
      <c r="K18" s="2"/>
      <c r="L18" s="3" t="s">
        <v>580</v>
      </c>
      <c r="M18" s="2"/>
      <c r="N18" s="3" t="s">
        <v>580</v>
      </c>
      <c r="O18" s="2" t="s">
        <v>5</v>
      </c>
      <c r="P18" s="2"/>
      <c r="Q18" s="2"/>
      <c r="R18" s="2"/>
    </row>
    <row r="19" spans="1:18" ht="16">
      <c r="A19" t="str">
        <f t="shared" si="0"/>
        <v>Z20-18</v>
      </c>
      <c r="B19" s="2">
        <v>3</v>
      </c>
      <c r="C19" s="3" t="s">
        <v>339</v>
      </c>
      <c r="D19" s="2" t="str">
        <f>A17</f>
        <v>Z20-16</v>
      </c>
      <c r="E19" s="2" t="s">
        <v>71</v>
      </c>
      <c r="F19" s="2" t="s">
        <v>72</v>
      </c>
      <c r="G19" s="2">
        <v>1</v>
      </c>
      <c r="H19" s="2"/>
      <c r="I19" s="2">
        <v>1</v>
      </c>
      <c r="J19" s="2">
        <v>1.4E-3</v>
      </c>
      <c r="K19" s="2"/>
      <c r="L19" s="3" t="s">
        <v>580</v>
      </c>
      <c r="M19" s="2"/>
      <c r="N19" s="3" t="s">
        <v>580</v>
      </c>
      <c r="O19" s="2" t="s">
        <v>5</v>
      </c>
      <c r="P19" s="2"/>
      <c r="Q19" s="2"/>
      <c r="R19" s="2"/>
    </row>
    <row r="20" spans="1:18" ht="16">
      <c r="A20" t="str">
        <f t="shared" si="0"/>
        <v>F15-19</v>
      </c>
      <c r="B20" s="2">
        <v>1</v>
      </c>
      <c r="C20" s="3" t="s">
        <v>340</v>
      </c>
      <c r="D20" s="2"/>
      <c r="E20" s="2"/>
      <c r="F20" s="2"/>
      <c r="G20" s="2"/>
      <c r="H20" s="2"/>
      <c r="I20" s="2"/>
      <c r="J20" s="13"/>
      <c r="K20" s="2"/>
      <c r="L20" s="2"/>
      <c r="M20" s="2"/>
      <c r="N20" s="2"/>
      <c r="O20" s="2"/>
      <c r="P20" s="2"/>
      <c r="Q20" s="2"/>
      <c r="R20" s="2"/>
    </row>
    <row r="21" spans="1:18" ht="16">
      <c r="A21" t="str">
        <f t="shared" si="0"/>
        <v>F15-20</v>
      </c>
      <c r="B21" s="2">
        <v>2</v>
      </c>
      <c r="C21" s="3" t="s">
        <v>340</v>
      </c>
      <c r="D21" s="2" t="str">
        <f>A20</f>
        <v>F15-19</v>
      </c>
      <c r="E21" s="2" t="s">
        <v>73</v>
      </c>
      <c r="F21" s="2" t="s">
        <v>74</v>
      </c>
      <c r="G21" s="2">
        <v>2</v>
      </c>
      <c r="H21" s="2">
        <v>1</v>
      </c>
      <c r="I21" s="2"/>
      <c r="J21" s="13"/>
      <c r="K21" s="2"/>
      <c r="L21" s="2"/>
      <c r="M21" s="2"/>
      <c r="N21" s="2"/>
      <c r="O21" s="2" t="s">
        <v>5</v>
      </c>
      <c r="P21" s="2"/>
      <c r="Q21" s="2"/>
      <c r="R21" s="2"/>
    </row>
    <row r="22" spans="1:18" ht="16">
      <c r="A22" t="str">
        <f t="shared" si="0"/>
        <v>F15-21</v>
      </c>
      <c r="B22" s="2">
        <v>3</v>
      </c>
      <c r="C22" s="3" t="s">
        <v>340</v>
      </c>
      <c r="D22" s="2" t="str">
        <f>A21</f>
        <v>F15-20</v>
      </c>
      <c r="E22" s="2" t="s">
        <v>75</v>
      </c>
      <c r="F22" s="2" t="s">
        <v>76</v>
      </c>
      <c r="G22" s="2">
        <v>1</v>
      </c>
      <c r="H22" s="2"/>
      <c r="I22" s="2">
        <v>1</v>
      </c>
      <c r="J22" s="2">
        <v>1.2999999999999999E-3</v>
      </c>
      <c r="K22" s="2"/>
      <c r="L22" s="3" t="s">
        <v>580</v>
      </c>
      <c r="M22" s="2"/>
      <c r="N22" s="3" t="s">
        <v>580</v>
      </c>
      <c r="O22" s="2" t="s">
        <v>5</v>
      </c>
      <c r="P22" s="2"/>
      <c r="Q22" s="2"/>
      <c r="R22" s="2"/>
    </row>
    <row r="23" spans="1:18" ht="16">
      <c r="A23" t="str">
        <f t="shared" si="0"/>
        <v>F15-22</v>
      </c>
      <c r="B23" s="2">
        <v>3</v>
      </c>
      <c r="C23" s="3" t="s">
        <v>340</v>
      </c>
      <c r="D23" s="2" t="str">
        <f>A21</f>
        <v>F15-20</v>
      </c>
      <c r="E23" s="2" t="s">
        <v>77</v>
      </c>
      <c r="F23" s="2" t="s">
        <v>78</v>
      </c>
      <c r="G23" s="2">
        <v>2</v>
      </c>
      <c r="H23" s="2">
        <v>1</v>
      </c>
      <c r="I23" s="2">
        <v>1</v>
      </c>
      <c r="J23" s="2">
        <v>1.8E-3</v>
      </c>
      <c r="K23" s="2"/>
      <c r="L23" s="3" t="s">
        <v>580</v>
      </c>
      <c r="M23" s="2"/>
      <c r="N23" s="3" t="s">
        <v>580</v>
      </c>
      <c r="O23" s="2" t="s">
        <v>5</v>
      </c>
      <c r="P23" s="2"/>
      <c r="Q23" s="2"/>
      <c r="R23" s="2"/>
    </row>
    <row r="24" spans="1:18" ht="16">
      <c r="A24" t="str">
        <f t="shared" si="0"/>
        <v>F15-23</v>
      </c>
      <c r="B24" s="2">
        <v>2</v>
      </c>
      <c r="C24" s="3" t="s">
        <v>340</v>
      </c>
      <c r="D24" s="2" t="str">
        <f>A20</f>
        <v>F15-19</v>
      </c>
      <c r="E24" s="2" t="s">
        <v>79</v>
      </c>
      <c r="F24" s="2" t="s">
        <v>80</v>
      </c>
      <c r="G24" s="2">
        <v>1</v>
      </c>
      <c r="H24" s="2"/>
      <c r="I24" s="2"/>
      <c r="J24" s="13"/>
      <c r="K24" s="2"/>
      <c r="L24" s="2"/>
      <c r="M24" s="2"/>
      <c r="N24" s="2"/>
      <c r="O24" s="2" t="s">
        <v>5</v>
      </c>
      <c r="P24" s="2"/>
      <c r="Q24" s="2"/>
      <c r="R24" s="2"/>
    </row>
    <row r="25" spans="1:18" ht="16">
      <c r="A25" t="str">
        <f t="shared" si="0"/>
        <v>F15-24</v>
      </c>
      <c r="B25" s="2">
        <v>3</v>
      </c>
      <c r="C25" s="3" t="s">
        <v>340</v>
      </c>
      <c r="D25" s="2" t="str">
        <f>A24</f>
        <v>F15-23</v>
      </c>
      <c r="E25" s="2" t="s">
        <v>81</v>
      </c>
      <c r="F25" s="2" t="s">
        <v>82</v>
      </c>
      <c r="G25" s="2">
        <v>1</v>
      </c>
      <c r="H25" s="2"/>
      <c r="I25" s="2">
        <v>1</v>
      </c>
      <c r="J25" s="2">
        <v>2.2000000000000001E-3</v>
      </c>
      <c r="K25" s="2"/>
      <c r="L25" s="3" t="s">
        <v>580</v>
      </c>
      <c r="M25" s="2"/>
      <c r="N25" s="3" t="s">
        <v>580</v>
      </c>
      <c r="O25" s="2" t="s">
        <v>5</v>
      </c>
      <c r="P25" s="2"/>
      <c r="Q25" s="2"/>
      <c r="R25" s="2"/>
    </row>
    <row r="26" spans="1:18" ht="16">
      <c r="A26" t="str">
        <f t="shared" si="0"/>
        <v>F15-25</v>
      </c>
      <c r="B26" s="2">
        <v>3</v>
      </c>
      <c r="C26" s="3" t="s">
        <v>340</v>
      </c>
      <c r="D26" s="2" t="str">
        <f>A24</f>
        <v>F15-23</v>
      </c>
      <c r="E26" s="2" t="s">
        <v>83</v>
      </c>
      <c r="F26" s="2" t="s">
        <v>84</v>
      </c>
      <c r="G26" s="2">
        <v>1</v>
      </c>
      <c r="H26" s="2"/>
      <c r="I26" s="2">
        <v>1</v>
      </c>
      <c r="J26" s="2">
        <v>1.6000000000000001E-3</v>
      </c>
      <c r="K26" s="2"/>
      <c r="L26" s="3" t="s">
        <v>580</v>
      </c>
      <c r="M26" s="2"/>
      <c r="N26" s="3" t="s">
        <v>580</v>
      </c>
      <c r="O26" s="2" t="s">
        <v>5</v>
      </c>
      <c r="P26" s="2"/>
      <c r="Q26" s="2"/>
      <c r="R26" s="2"/>
    </row>
    <row r="27" spans="1:18" ht="16">
      <c r="A27" t="str">
        <f t="shared" si="0"/>
        <v>E2D-26</v>
      </c>
      <c r="B27" s="2">
        <v>1</v>
      </c>
      <c r="C27" s="3" t="s">
        <v>337</v>
      </c>
      <c r="D27" s="2"/>
      <c r="E27" s="2"/>
      <c r="F27" s="2"/>
      <c r="G27" s="2"/>
      <c r="H27" s="2"/>
      <c r="I27" s="2"/>
      <c r="J27" s="13"/>
      <c r="K27" s="2"/>
      <c r="L27" s="2"/>
      <c r="M27" s="2"/>
      <c r="N27" s="2"/>
      <c r="O27" s="2"/>
      <c r="P27" s="2"/>
      <c r="Q27" s="2"/>
      <c r="R27" s="2"/>
    </row>
    <row r="28" spans="1:18" ht="16">
      <c r="A28" t="str">
        <f t="shared" si="0"/>
        <v>E2D-27</v>
      </c>
      <c r="B28" s="2">
        <v>2</v>
      </c>
      <c r="C28" s="3" t="s">
        <v>337</v>
      </c>
      <c r="D28" s="2" t="str">
        <f>A27</f>
        <v>E2D-26</v>
      </c>
      <c r="E28" s="2" t="s">
        <v>85</v>
      </c>
      <c r="F28" s="2" t="s">
        <v>86</v>
      </c>
      <c r="G28" s="2">
        <v>1</v>
      </c>
      <c r="H28" s="2"/>
      <c r="I28" s="2"/>
      <c r="J28" s="13"/>
      <c r="K28" s="2"/>
      <c r="L28" s="2"/>
      <c r="M28" s="2"/>
      <c r="N28" s="2"/>
      <c r="O28" s="2" t="s">
        <v>5</v>
      </c>
      <c r="P28" s="2"/>
      <c r="Q28" s="2"/>
      <c r="R28" s="2"/>
    </row>
    <row r="29" spans="1:18" ht="16">
      <c r="A29" t="str">
        <f t="shared" si="0"/>
        <v>E2D-28</v>
      </c>
      <c r="B29" s="2">
        <v>3</v>
      </c>
      <c r="C29" s="3" t="s">
        <v>337</v>
      </c>
      <c r="D29" s="2" t="str">
        <f>A28</f>
        <v>E2D-27</v>
      </c>
      <c r="E29" s="2" t="s">
        <v>87</v>
      </c>
      <c r="F29" s="2" t="s">
        <v>88</v>
      </c>
      <c r="G29" s="2">
        <v>2</v>
      </c>
      <c r="H29" s="2">
        <v>1</v>
      </c>
      <c r="I29" s="2">
        <v>1</v>
      </c>
      <c r="J29" s="2">
        <v>1.1000000000000001E-3</v>
      </c>
      <c r="K29" s="2"/>
      <c r="L29" s="3" t="s">
        <v>580</v>
      </c>
      <c r="M29" s="2"/>
      <c r="N29" s="3" t="s">
        <v>580</v>
      </c>
      <c r="O29" s="2" t="s">
        <v>5</v>
      </c>
      <c r="P29" s="2"/>
      <c r="Q29" s="2"/>
      <c r="R29" s="2"/>
    </row>
    <row r="30" spans="1:18" ht="16">
      <c r="A30" t="str">
        <f t="shared" si="0"/>
        <v>E2D-29</v>
      </c>
      <c r="B30" s="2">
        <v>3</v>
      </c>
      <c r="C30" s="3" t="s">
        <v>337</v>
      </c>
      <c r="D30" s="2" t="str">
        <f>A28</f>
        <v>E2D-27</v>
      </c>
      <c r="E30" s="2" t="s">
        <v>89</v>
      </c>
      <c r="F30" s="2" t="s">
        <v>90</v>
      </c>
      <c r="G30" s="2">
        <v>1</v>
      </c>
      <c r="H30" s="2"/>
      <c r="I30" s="2">
        <v>1</v>
      </c>
      <c r="J30" s="2">
        <v>8.9999999999999998E-4</v>
      </c>
      <c r="K30" s="2"/>
      <c r="L30" s="3" t="s">
        <v>580</v>
      </c>
      <c r="M30" s="2"/>
      <c r="N30" s="3" t="s">
        <v>580</v>
      </c>
      <c r="O30" s="2" t="s">
        <v>5</v>
      </c>
      <c r="P30" s="2"/>
      <c r="Q30" s="2"/>
      <c r="R30" s="2"/>
    </row>
    <row r="31" spans="1:18" ht="16">
      <c r="A31" t="str">
        <f t="shared" si="0"/>
        <v>E2D-30</v>
      </c>
      <c r="B31" s="2">
        <v>2</v>
      </c>
      <c r="C31" s="3" t="s">
        <v>337</v>
      </c>
      <c r="D31" s="2" t="str">
        <f>A27</f>
        <v>E2D-26</v>
      </c>
      <c r="E31" s="2" t="s">
        <v>91</v>
      </c>
      <c r="F31" s="2" t="s">
        <v>92</v>
      </c>
      <c r="G31" s="2">
        <v>1</v>
      </c>
      <c r="H31" s="2"/>
      <c r="I31" s="2"/>
      <c r="J31" s="13"/>
      <c r="K31" s="2"/>
      <c r="L31" s="2"/>
      <c r="M31" s="2"/>
      <c r="N31" s="2"/>
      <c r="O31" s="2" t="s">
        <v>5</v>
      </c>
      <c r="P31" s="2"/>
      <c r="Q31" s="2"/>
      <c r="R31" s="2"/>
    </row>
    <row r="32" spans="1:18" ht="16">
      <c r="A32" t="str">
        <f t="shared" si="0"/>
        <v>E2D-31</v>
      </c>
      <c r="B32" s="2">
        <v>3</v>
      </c>
      <c r="C32" s="3" t="s">
        <v>337</v>
      </c>
      <c r="D32" s="2" t="str">
        <f>A31</f>
        <v>E2D-30</v>
      </c>
      <c r="E32" s="2" t="s">
        <v>93</v>
      </c>
      <c r="F32" s="2" t="s">
        <v>94</v>
      </c>
      <c r="G32" s="2">
        <v>1</v>
      </c>
      <c r="H32" s="2"/>
      <c r="I32" s="2">
        <v>1</v>
      </c>
      <c r="J32" s="2">
        <v>1.1999999999999999E-3</v>
      </c>
      <c r="K32" s="2"/>
      <c r="L32" s="3" t="s">
        <v>580</v>
      </c>
      <c r="M32" s="2"/>
      <c r="N32" s="3" t="s">
        <v>580</v>
      </c>
      <c r="O32" s="2" t="s">
        <v>5</v>
      </c>
      <c r="P32" s="2"/>
      <c r="Q32" s="2"/>
      <c r="R32" s="2"/>
    </row>
    <row r="33" spans="1:18" ht="16">
      <c r="A33" t="str">
        <f t="shared" si="0"/>
        <v>E2D-32</v>
      </c>
      <c r="B33" s="2">
        <v>3</v>
      </c>
      <c r="C33" s="3" t="s">
        <v>337</v>
      </c>
      <c r="D33" s="2" t="str">
        <f>A31</f>
        <v>E2D-30</v>
      </c>
      <c r="E33" s="2" t="s">
        <v>95</v>
      </c>
      <c r="F33" s="2" t="s">
        <v>96</v>
      </c>
      <c r="G33" s="2">
        <v>1</v>
      </c>
      <c r="H33" s="2"/>
      <c r="I33" s="2">
        <v>1</v>
      </c>
      <c r="J33" s="2">
        <v>1E-3</v>
      </c>
      <c r="K33" s="2"/>
      <c r="L33" s="3" t="s">
        <v>580</v>
      </c>
      <c r="M33" s="2"/>
      <c r="N33" s="3" t="s">
        <v>580</v>
      </c>
      <c r="O33" s="2" t="s">
        <v>5</v>
      </c>
      <c r="P33" s="2"/>
      <c r="Q33" s="2"/>
      <c r="R33" s="2"/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42"/>
  <sheetViews>
    <sheetView zoomScale="172" zoomScaleNormal="172" workbookViewId="0">
      <selection activeCell="B27" sqref="B27:B30"/>
    </sheetView>
  </sheetViews>
  <sheetFormatPr baseColWidth="10" defaultColWidth="9.5" defaultRowHeight="15"/>
  <cols>
    <col min="1" max="2" width="10" customWidth="1"/>
    <col min="3" max="3" width="11" customWidth="1"/>
    <col min="4" max="4" width="19.83203125" customWidth="1"/>
    <col min="5" max="5" width="10" customWidth="1"/>
    <col min="6" max="11" width="12" customWidth="1"/>
    <col min="12" max="12" width="16" customWidth="1"/>
    <col min="13" max="13" width="18" customWidth="1"/>
    <col min="14" max="14" width="16" customWidth="1"/>
    <col min="15" max="16" width="10" customWidth="1"/>
    <col min="17" max="17" width="14" customWidth="1"/>
  </cols>
  <sheetData>
    <row r="1" spans="1:17" ht="16">
      <c r="A1" s="1" t="s">
        <v>0</v>
      </c>
      <c r="B1" s="1" t="s">
        <v>97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</row>
    <row r="2" spans="1:17" ht="16">
      <c r="A2" s="2">
        <v>1</v>
      </c>
      <c r="B2" s="3" t="s">
        <v>338</v>
      </c>
      <c r="C2" s="3" t="s">
        <v>999</v>
      </c>
      <c r="D2" s="2" t="s">
        <v>100</v>
      </c>
      <c r="E2" s="2" t="s">
        <v>149</v>
      </c>
      <c r="F2" s="2" t="s">
        <v>150</v>
      </c>
      <c r="G2" s="2">
        <v>30</v>
      </c>
      <c r="H2" s="2" t="s">
        <v>151</v>
      </c>
      <c r="I2" s="2">
        <v>3012</v>
      </c>
      <c r="J2" s="2" t="s">
        <v>152</v>
      </c>
      <c r="K2" s="2">
        <v>292</v>
      </c>
      <c r="L2" s="2" t="s">
        <v>153</v>
      </c>
      <c r="M2" s="2" t="s">
        <v>154</v>
      </c>
      <c r="N2" s="2">
        <v>1508</v>
      </c>
      <c r="O2" s="2" t="s">
        <v>152</v>
      </c>
      <c r="P2" s="2" t="s">
        <v>155</v>
      </c>
      <c r="Q2" s="2">
        <v>292</v>
      </c>
    </row>
    <row r="3" spans="1:17" ht="16">
      <c r="A3" s="2">
        <v>2</v>
      </c>
      <c r="B3" s="3" t="s">
        <v>338</v>
      </c>
      <c r="C3" s="3" t="s">
        <v>1000</v>
      </c>
      <c r="D3" s="2" t="s">
        <v>100</v>
      </c>
      <c r="E3" s="2" t="s">
        <v>149</v>
      </c>
      <c r="F3" s="2" t="s">
        <v>156</v>
      </c>
      <c r="G3" s="2">
        <v>30</v>
      </c>
      <c r="H3" s="2" t="s">
        <v>157</v>
      </c>
      <c r="I3" s="2">
        <v>3024</v>
      </c>
      <c r="J3" s="2" t="s">
        <v>158</v>
      </c>
      <c r="K3" s="2">
        <v>297</v>
      </c>
      <c r="L3" s="2" t="s">
        <v>153</v>
      </c>
      <c r="M3" s="2" t="s">
        <v>159</v>
      </c>
      <c r="N3" s="2">
        <v>1516</v>
      </c>
      <c r="O3" s="2" t="s">
        <v>158</v>
      </c>
      <c r="P3" s="2" t="s">
        <v>160</v>
      </c>
      <c r="Q3" s="2">
        <v>297</v>
      </c>
    </row>
    <row r="4" spans="1:17" ht="16">
      <c r="A4" s="2">
        <v>3</v>
      </c>
      <c r="B4" s="3" t="s">
        <v>338</v>
      </c>
      <c r="C4" s="3" t="s">
        <v>1001</v>
      </c>
      <c r="D4" s="2" t="s">
        <v>100</v>
      </c>
      <c r="E4" s="2" t="s">
        <v>149</v>
      </c>
      <c r="F4" s="2" t="s">
        <v>161</v>
      </c>
      <c r="G4" s="2">
        <v>30</v>
      </c>
      <c r="H4" s="2" t="s">
        <v>162</v>
      </c>
      <c r="I4" s="2">
        <v>3036</v>
      </c>
      <c r="J4" s="2" t="s">
        <v>163</v>
      </c>
      <c r="K4" s="2">
        <v>302</v>
      </c>
      <c r="L4" s="2" t="s">
        <v>153</v>
      </c>
      <c r="M4" s="2" t="s">
        <v>164</v>
      </c>
      <c r="N4" s="2">
        <v>1524</v>
      </c>
      <c r="O4" s="2" t="s">
        <v>163</v>
      </c>
      <c r="P4" s="2" t="s">
        <v>165</v>
      </c>
      <c r="Q4" s="2">
        <v>302</v>
      </c>
    </row>
    <row r="5" spans="1:17" ht="16">
      <c r="A5" s="2">
        <v>4</v>
      </c>
      <c r="B5" s="3" t="s">
        <v>338</v>
      </c>
      <c r="C5" s="3" t="s">
        <v>1002</v>
      </c>
      <c r="D5" s="2" t="s">
        <v>100</v>
      </c>
      <c r="E5" s="2" t="s">
        <v>149</v>
      </c>
      <c r="F5" s="2" t="s">
        <v>166</v>
      </c>
      <c r="G5" s="2">
        <v>30</v>
      </c>
      <c r="H5" s="2" t="s">
        <v>167</v>
      </c>
      <c r="I5" s="2">
        <v>3048</v>
      </c>
      <c r="J5" s="2" t="s">
        <v>168</v>
      </c>
      <c r="K5" s="2">
        <v>307</v>
      </c>
      <c r="L5" s="2" t="s">
        <v>153</v>
      </c>
      <c r="M5" s="2" t="s">
        <v>169</v>
      </c>
      <c r="N5" s="2">
        <v>1532</v>
      </c>
      <c r="O5" s="2" t="s">
        <v>168</v>
      </c>
      <c r="P5" s="2" t="s">
        <v>170</v>
      </c>
      <c r="Q5" s="2">
        <v>307</v>
      </c>
    </row>
    <row r="6" spans="1:17" ht="16">
      <c r="A6" s="2">
        <v>5</v>
      </c>
      <c r="B6" s="3" t="s">
        <v>338</v>
      </c>
      <c r="C6" s="3" t="s">
        <v>1003</v>
      </c>
      <c r="D6" s="2" t="s">
        <v>100</v>
      </c>
      <c r="E6" s="2" t="s">
        <v>149</v>
      </c>
      <c r="F6" s="2" t="s">
        <v>171</v>
      </c>
      <c r="G6" s="2">
        <v>30</v>
      </c>
      <c r="H6" s="2" t="s">
        <v>172</v>
      </c>
      <c r="I6" s="2">
        <v>3060</v>
      </c>
      <c r="J6" s="2" t="s">
        <v>173</v>
      </c>
      <c r="K6" s="2">
        <v>312</v>
      </c>
      <c r="L6" s="2" t="s">
        <v>153</v>
      </c>
      <c r="M6" s="2" t="s">
        <v>174</v>
      </c>
      <c r="N6" s="2">
        <v>1540</v>
      </c>
      <c r="O6" s="2" t="s">
        <v>173</v>
      </c>
      <c r="P6" s="2" t="s">
        <v>175</v>
      </c>
      <c r="Q6" s="2">
        <v>312</v>
      </c>
    </row>
    <row r="7" spans="1:17" ht="16">
      <c r="A7" s="2">
        <v>6</v>
      </c>
      <c r="B7" s="3" t="s">
        <v>338</v>
      </c>
      <c r="C7" s="3" t="s">
        <v>1004</v>
      </c>
      <c r="D7" s="2" t="s">
        <v>100</v>
      </c>
      <c r="E7" s="2" t="s">
        <v>149</v>
      </c>
      <c r="F7" s="2" t="s">
        <v>176</v>
      </c>
      <c r="G7" s="2">
        <v>30</v>
      </c>
      <c r="H7" s="2" t="s">
        <v>177</v>
      </c>
      <c r="I7" s="2">
        <v>3072</v>
      </c>
      <c r="J7" s="2" t="s">
        <v>178</v>
      </c>
      <c r="K7" s="2">
        <v>317</v>
      </c>
      <c r="L7" s="2" t="s">
        <v>153</v>
      </c>
      <c r="M7" s="2" t="s">
        <v>179</v>
      </c>
      <c r="N7" s="2">
        <v>1548</v>
      </c>
      <c r="O7" s="2" t="s">
        <v>178</v>
      </c>
      <c r="P7" s="2" t="s">
        <v>180</v>
      </c>
      <c r="Q7" s="2">
        <v>317</v>
      </c>
    </row>
    <row r="8" spans="1:17" ht="16">
      <c r="A8" s="2">
        <v>7</v>
      </c>
      <c r="B8" s="3" t="s">
        <v>338</v>
      </c>
      <c r="C8" s="3" t="s">
        <v>1005</v>
      </c>
      <c r="D8" s="2" t="s">
        <v>100</v>
      </c>
      <c r="E8" s="2" t="s">
        <v>149</v>
      </c>
      <c r="F8" s="2" t="s">
        <v>181</v>
      </c>
      <c r="G8" s="2">
        <v>30</v>
      </c>
      <c r="H8" s="2" t="s">
        <v>182</v>
      </c>
      <c r="I8" s="2">
        <v>3084</v>
      </c>
      <c r="J8" s="2" t="s">
        <v>183</v>
      </c>
      <c r="K8" s="2">
        <v>322</v>
      </c>
      <c r="L8" s="2" t="s">
        <v>153</v>
      </c>
      <c r="M8" s="2" t="s">
        <v>184</v>
      </c>
      <c r="N8" s="2">
        <v>1556</v>
      </c>
      <c r="O8" s="2" t="s">
        <v>183</v>
      </c>
      <c r="P8" s="2" t="s">
        <v>185</v>
      </c>
      <c r="Q8" s="2">
        <v>322</v>
      </c>
    </row>
    <row r="9" spans="1:17" ht="16">
      <c r="A9" s="2">
        <v>8</v>
      </c>
      <c r="B9" s="3" t="s">
        <v>338</v>
      </c>
      <c r="C9" s="3" t="s">
        <v>1006</v>
      </c>
      <c r="D9" s="2" t="s">
        <v>100</v>
      </c>
      <c r="E9" s="2" t="s">
        <v>149</v>
      </c>
      <c r="F9" s="2" t="s">
        <v>186</v>
      </c>
      <c r="G9" s="2">
        <v>30</v>
      </c>
      <c r="H9" s="2" t="s">
        <v>187</v>
      </c>
      <c r="I9" s="2">
        <v>3096</v>
      </c>
      <c r="J9" s="2" t="s">
        <v>188</v>
      </c>
      <c r="K9" s="2">
        <v>327</v>
      </c>
      <c r="L9" s="2" t="s">
        <v>153</v>
      </c>
      <c r="M9" s="2" t="s">
        <v>189</v>
      </c>
      <c r="N9" s="2">
        <v>1564</v>
      </c>
      <c r="O9" s="2" t="s">
        <v>188</v>
      </c>
      <c r="P9" s="2" t="s">
        <v>190</v>
      </c>
      <c r="Q9" s="2">
        <v>327</v>
      </c>
    </row>
    <row r="10" spans="1:17" ht="16">
      <c r="A10" s="2">
        <v>9</v>
      </c>
      <c r="B10" s="3" t="s">
        <v>338</v>
      </c>
      <c r="C10" s="3" t="s">
        <v>1007</v>
      </c>
      <c r="D10" s="2" t="s">
        <v>100</v>
      </c>
      <c r="E10" s="2" t="s">
        <v>149</v>
      </c>
      <c r="F10" s="2" t="s">
        <v>191</v>
      </c>
      <c r="G10" s="2">
        <v>30</v>
      </c>
      <c r="H10" s="2" t="s">
        <v>192</v>
      </c>
      <c r="I10" s="2">
        <v>3108</v>
      </c>
      <c r="J10" s="2" t="s">
        <v>193</v>
      </c>
      <c r="K10" s="2">
        <v>332</v>
      </c>
      <c r="L10" s="2" t="s">
        <v>153</v>
      </c>
      <c r="M10" s="2" t="s">
        <v>194</v>
      </c>
      <c r="N10" s="2">
        <v>1572</v>
      </c>
      <c r="O10" s="2" t="s">
        <v>193</v>
      </c>
      <c r="P10" s="2" t="s">
        <v>195</v>
      </c>
      <c r="Q10" s="2">
        <v>332</v>
      </c>
    </row>
    <row r="11" spans="1:17" ht="16">
      <c r="A11" s="2">
        <v>10</v>
      </c>
      <c r="B11" s="3" t="s">
        <v>338</v>
      </c>
      <c r="C11" s="3" t="s">
        <v>1008</v>
      </c>
      <c r="D11" s="2" t="s">
        <v>100</v>
      </c>
      <c r="E11" s="2" t="s">
        <v>149</v>
      </c>
      <c r="F11" s="2" t="s">
        <v>196</v>
      </c>
      <c r="G11" s="2">
        <v>30</v>
      </c>
      <c r="H11" s="2" t="s">
        <v>197</v>
      </c>
      <c r="I11" s="2">
        <v>3120</v>
      </c>
      <c r="J11" s="2" t="s">
        <v>198</v>
      </c>
      <c r="K11" s="2"/>
      <c r="L11" s="2" t="s">
        <v>153</v>
      </c>
      <c r="M11" s="2" t="s">
        <v>199</v>
      </c>
      <c r="N11" s="2">
        <v>1580</v>
      </c>
      <c r="O11" s="2" t="s">
        <v>198</v>
      </c>
      <c r="P11" s="2" t="s">
        <v>200</v>
      </c>
      <c r="Q11" s="2"/>
    </row>
    <row r="12" spans="1:17" ht="16">
      <c r="A12" s="2">
        <v>11</v>
      </c>
      <c r="B12" s="3" t="s">
        <v>338</v>
      </c>
      <c r="C12" s="3" t="s">
        <v>1009</v>
      </c>
      <c r="D12" s="2" t="s">
        <v>100</v>
      </c>
      <c r="E12" s="2" t="s">
        <v>149</v>
      </c>
      <c r="F12" s="2" t="s">
        <v>201</v>
      </c>
      <c r="G12" s="2">
        <v>30</v>
      </c>
      <c r="H12" s="2" t="s">
        <v>202</v>
      </c>
      <c r="I12" s="2">
        <v>3132</v>
      </c>
      <c r="J12" s="2" t="s">
        <v>203</v>
      </c>
      <c r="K12" s="2">
        <v>342</v>
      </c>
      <c r="L12" s="2" t="s">
        <v>153</v>
      </c>
      <c r="M12" s="2" t="s">
        <v>204</v>
      </c>
      <c r="N12" s="2">
        <v>1588</v>
      </c>
      <c r="O12" s="2" t="s">
        <v>203</v>
      </c>
      <c r="P12" s="2" t="s">
        <v>205</v>
      </c>
      <c r="Q12" s="2">
        <v>342</v>
      </c>
    </row>
    <row r="13" spans="1:17" ht="16">
      <c r="A13" s="2">
        <v>12</v>
      </c>
      <c r="B13" s="3" t="s">
        <v>338</v>
      </c>
      <c r="C13" s="3" t="s">
        <v>1010</v>
      </c>
      <c r="D13" s="2" t="s">
        <v>100</v>
      </c>
      <c r="E13" s="2" t="s">
        <v>149</v>
      </c>
      <c r="F13" s="2" t="s">
        <v>206</v>
      </c>
      <c r="G13" s="2">
        <v>30</v>
      </c>
      <c r="H13" s="2" t="s">
        <v>207</v>
      </c>
      <c r="I13" s="2">
        <v>3144</v>
      </c>
      <c r="J13" s="2" t="s">
        <v>208</v>
      </c>
      <c r="K13" s="2">
        <v>347</v>
      </c>
      <c r="L13" s="2" t="s">
        <v>153</v>
      </c>
      <c r="M13" s="2" t="s">
        <v>209</v>
      </c>
      <c r="N13" s="2">
        <v>1596</v>
      </c>
      <c r="O13" s="2" t="s">
        <v>208</v>
      </c>
      <c r="P13" s="2" t="s">
        <v>210</v>
      </c>
      <c r="Q13" s="2">
        <v>347</v>
      </c>
    </row>
    <row r="14" spans="1:17" ht="16">
      <c r="A14" s="2">
        <v>13</v>
      </c>
      <c r="B14" s="3" t="s">
        <v>338</v>
      </c>
      <c r="C14" s="3" t="s">
        <v>1011</v>
      </c>
      <c r="D14" s="2" t="s">
        <v>100</v>
      </c>
      <c r="E14" s="2" t="s">
        <v>149</v>
      </c>
      <c r="F14" s="2" t="s">
        <v>150</v>
      </c>
      <c r="G14" s="2">
        <v>30</v>
      </c>
      <c r="H14" s="2" t="s">
        <v>211</v>
      </c>
      <c r="I14" s="2">
        <v>3156</v>
      </c>
      <c r="J14" s="2" t="s">
        <v>212</v>
      </c>
      <c r="K14" s="2">
        <v>352</v>
      </c>
      <c r="L14" s="2" t="s">
        <v>153</v>
      </c>
      <c r="M14" s="2" t="s">
        <v>213</v>
      </c>
      <c r="N14" s="2">
        <v>1604</v>
      </c>
      <c r="O14" s="2" t="s">
        <v>212</v>
      </c>
      <c r="P14" s="2" t="s">
        <v>214</v>
      </c>
      <c r="Q14" s="2">
        <v>352</v>
      </c>
    </row>
    <row r="15" spans="1:17" ht="16">
      <c r="A15" s="2">
        <v>14</v>
      </c>
      <c r="B15" s="3" t="s">
        <v>338</v>
      </c>
      <c r="C15" s="3" t="s">
        <v>1012</v>
      </c>
      <c r="D15" s="2" t="s">
        <v>100</v>
      </c>
      <c r="E15" s="2" t="s">
        <v>149</v>
      </c>
      <c r="F15" s="2" t="s">
        <v>150</v>
      </c>
      <c r="G15" s="2">
        <v>30</v>
      </c>
      <c r="H15" s="2" t="s">
        <v>211</v>
      </c>
      <c r="I15" s="2">
        <v>3156</v>
      </c>
      <c r="J15" s="2" t="s">
        <v>212</v>
      </c>
      <c r="K15" s="2">
        <v>352</v>
      </c>
      <c r="L15" s="2" t="s">
        <v>153</v>
      </c>
      <c r="M15" s="2" t="s">
        <v>213</v>
      </c>
      <c r="N15" s="2">
        <v>1604</v>
      </c>
      <c r="O15" s="2" t="s">
        <v>212</v>
      </c>
      <c r="P15" s="2" t="s">
        <v>214</v>
      </c>
      <c r="Q15" s="2">
        <v>352</v>
      </c>
    </row>
    <row r="16" spans="1:17" ht="16">
      <c r="A16" s="2">
        <v>15</v>
      </c>
      <c r="B16" s="3" t="s">
        <v>338</v>
      </c>
      <c r="C16" s="3" t="s">
        <v>1013</v>
      </c>
      <c r="D16" s="2" t="s">
        <v>100</v>
      </c>
      <c r="E16" s="2" t="s">
        <v>149</v>
      </c>
      <c r="F16" s="2" t="s">
        <v>150</v>
      </c>
      <c r="G16" s="2">
        <v>30</v>
      </c>
      <c r="H16" s="2" t="s">
        <v>211</v>
      </c>
      <c r="I16" s="2">
        <v>3156</v>
      </c>
      <c r="J16" s="2" t="s">
        <v>212</v>
      </c>
      <c r="K16" s="2">
        <v>352</v>
      </c>
      <c r="L16" s="2" t="s">
        <v>153</v>
      </c>
      <c r="M16" s="2" t="s">
        <v>213</v>
      </c>
      <c r="N16" s="2">
        <v>1604</v>
      </c>
      <c r="O16" s="2" t="s">
        <v>212</v>
      </c>
      <c r="P16" s="2" t="s">
        <v>214</v>
      </c>
      <c r="Q16" s="2">
        <v>352</v>
      </c>
    </row>
    <row r="17" spans="1:17" ht="16">
      <c r="A17" s="2">
        <v>16</v>
      </c>
      <c r="B17" s="3" t="s">
        <v>338</v>
      </c>
      <c r="C17" s="3" t="s">
        <v>1014</v>
      </c>
      <c r="D17" s="2" t="s">
        <v>100</v>
      </c>
      <c r="E17" s="2" t="s">
        <v>149</v>
      </c>
      <c r="F17" s="2" t="s">
        <v>150</v>
      </c>
      <c r="G17" s="2">
        <v>30</v>
      </c>
      <c r="H17" s="2" t="s">
        <v>211</v>
      </c>
      <c r="I17" s="2">
        <v>3156</v>
      </c>
      <c r="J17" s="2" t="s">
        <v>212</v>
      </c>
      <c r="K17" s="2">
        <v>352</v>
      </c>
      <c r="L17" s="2" t="s">
        <v>153</v>
      </c>
      <c r="M17" s="2" t="s">
        <v>213</v>
      </c>
      <c r="N17" s="2">
        <v>1604</v>
      </c>
      <c r="O17" s="2" t="s">
        <v>212</v>
      </c>
      <c r="P17" s="2" t="s">
        <v>214</v>
      </c>
      <c r="Q17" s="2">
        <v>352</v>
      </c>
    </row>
    <row r="18" spans="1:17" ht="16">
      <c r="A18" s="2">
        <v>17</v>
      </c>
      <c r="B18" s="3" t="s">
        <v>338</v>
      </c>
      <c r="C18" s="3" t="s">
        <v>1015</v>
      </c>
      <c r="D18" s="2" t="s">
        <v>100</v>
      </c>
      <c r="E18" s="2" t="s">
        <v>149</v>
      </c>
      <c r="F18" s="2" t="s">
        <v>150</v>
      </c>
      <c r="G18" s="2">
        <v>30</v>
      </c>
      <c r="H18" s="2" t="s">
        <v>211</v>
      </c>
      <c r="I18" s="2">
        <v>3156</v>
      </c>
      <c r="J18" s="2" t="s">
        <v>212</v>
      </c>
      <c r="K18" s="2">
        <v>352</v>
      </c>
      <c r="L18" s="2" t="s">
        <v>153</v>
      </c>
      <c r="M18" s="2" t="s">
        <v>213</v>
      </c>
      <c r="N18" s="2">
        <v>1604</v>
      </c>
      <c r="O18" s="2" t="s">
        <v>212</v>
      </c>
      <c r="P18" s="2" t="s">
        <v>214</v>
      </c>
      <c r="Q18" s="2">
        <v>352</v>
      </c>
    </row>
    <row r="19" spans="1:17" ht="16">
      <c r="A19" s="2">
        <v>18</v>
      </c>
      <c r="B19" s="3" t="s">
        <v>338</v>
      </c>
      <c r="C19" s="3" t="s">
        <v>1016</v>
      </c>
      <c r="D19" s="2" t="s">
        <v>100</v>
      </c>
      <c r="E19" s="2" t="s">
        <v>149</v>
      </c>
      <c r="F19" s="2" t="s">
        <v>150</v>
      </c>
      <c r="G19" s="2">
        <v>30</v>
      </c>
      <c r="H19" s="2" t="s">
        <v>211</v>
      </c>
      <c r="I19" s="2">
        <v>3156</v>
      </c>
      <c r="J19" s="2" t="s">
        <v>212</v>
      </c>
      <c r="K19" s="2">
        <v>352</v>
      </c>
      <c r="L19" s="2" t="s">
        <v>153</v>
      </c>
      <c r="M19" s="2" t="s">
        <v>213</v>
      </c>
      <c r="N19" s="2">
        <v>1604</v>
      </c>
      <c r="O19" s="2" t="s">
        <v>212</v>
      </c>
      <c r="P19" s="2" t="s">
        <v>214</v>
      </c>
      <c r="Q19" s="2">
        <v>352</v>
      </c>
    </row>
    <row r="20" spans="1:17" ht="16">
      <c r="A20" s="2">
        <v>19</v>
      </c>
      <c r="B20" s="3" t="s">
        <v>338</v>
      </c>
      <c r="C20" s="3" t="s">
        <v>1017</v>
      </c>
      <c r="D20" s="2" t="s">
        <v>100</v>
      </c>
      <c r="E20" s="2" t="s">
        <v>149</v>
      </c>
      <c r="F20" s="2" t="s">
        <v>150</v>
      </c>
      <c r="G20" s="2">
        <v>30</v>
      </c>
      <c r="H20" s="2" t="s">
        <v>211</v>
      </c>
      <c r="I20" s="2">
        <v>3156</v>
      </c>
      <c r="J20" s="2" t="s">
        <v>212</v>
      </c>
      <c r="K20" s="2">
        <v>352</v>
      </c>
      <c r="L20" s="2" t="s">
        <v>153</v>
      </c>
      <c r="M20" s="2" t="s">
        <v>213</v>
      </c>
      <c r="N20" s="2">
        <v>1604</v>
      </c>
      <c r="O20" s="2" t="s">
        <v>212</v>
      </c>
      <c r="P20" s="2" t="s">
        <v>214</v>
      </c>
      <c r="Q20" s="2">
        <v>352</v>
      </c>
    </row>
    <row r="21" spans="1:17" ht="16">
      <c r="A21" s="2">
        <v>20</v>
      </c>
      <c r="B21" s="3" t="s">
        <v>338</v>
      </c>
      <c r="C21" s="3" t="s">
        <v>1018</v>
      </c>
      <c r="D21" s="2" t="s">
        <v>100</v>
      </c>
      <c r="E21" s="2" t="s">
        <v>149</v>
      </c>
      <c r="F21" s="2" t="s">
        <v>150</v>
      </c>
      <c r="G21" s="2">
        <v>30</v>
      </c>
      <c r="H21" s="2" t="s">
        <v>211</v>
      </c>
      <c r="I21" s="2">
        <v>3156</v>
      </c>
      <c r="J21" s="2" t="s">
        <v>212</v>
      </c>
      <c r="K21" s="2">
        <v>352</v>
      </c>
      <c r="L21" s="2" t="s">
        <v>153</v>
      </c>
      <c r="M21" s="2" t="s">
        <v>213</v>
      </c>
      <c r="N21" s="2">
        <v>1604</v>
      </c>
      <c r="O21" s="2" t="s">
        <v>212</v>
      </c>
      <c r="P21" s="2" t="s">
        <v>214</v>
      </c>
      <c r="Q21" s="2">
        <v>352</v>
      </c>
    </row>
    <row r="22" spans="1:17" ht="16">
      <c r="A22" s="2">
        <v>21</v>
      </c>
      <c r="B22" s="3" t="s">
        <v>338</v>
      </c>
      <c r="C22" s="3" t="s">
        <v>1019</v>
      </c>
      <c r="D22" s="2" t="s">
        <v>100</v>
      </c>
      <c r="E22" s="2" t="s">
        <v>149</v>
      </c>
      <c r="F22" s="2" t="s">
        <v>150</v>
      </c>
      <c r="G22" s="2">
        <v>30</v>
      </c>
      <c r="H22" s="2" t="s">
        <v>211</v>
      </c>
      <c r="I22" s="2">
        <v>3156</v>
      </c>
      <c r="J22" s="2" t="s">
        <v>212</v>
      </c>
      <c r="K22" s="2">
        <v>352</v>
      </c>
      <c r="L22" s="2" t="s">
        <v>153</v>
      </c>
      <c r="M22" s="2" t="s">
        <v>213</v>
      </c>
      <c r="N22" s="2">
        <v>1604</v>
      </c>
      <c r="O22" s="2" t="s">
        <v>212</v>
      </c>
      <c r="P22" s="2" t="s">
        <v>214</v>
      </c>
      <c r="Q22" s="2">
        <v>352</v>
      </c>
    </row>
    <row r="23" spans="1:17" ht="16">
      <c r="A23" s="2">
        <v>22</v>
      </c>
      <c r="B23" s="3" t="s">
        <v>338</v>
      </c>
      <c r="C23" s="3" t="s">
        <v>1020</v>
      </c>
      <c r="D23" s="2" t="s">
        <v>100</v>
      </c>
      <c r="E23" s="2" t="s">
        <v>149</v>
      </c>
      <c r="F23" s="2" t="s">
        <v>150</v>
      </c>
      <c r="G23" s="2">
        <v>30</v>
      </c>
      <c r="H23" s="2" t="s">
        <v>211</v>
      </c>
      <c r="I23" s="2">
        <v>3156</v>
      </c>
      <c r="J23" s="2" t="s">
        <v>212</v>
      </c>
      <c r="K23" s="2">
        <v>352</v>
      </c>
      <c r="L23" s="2" t="s">
        <v>153</v>
      </c>
      <c r="M23" s="2" t="s">
        <v>213</v>
      </c>
      <c r="N23" s="2">
        <v>1604</v>
      </c>
      <c r="O23" s="2" t="s">
        <v>212</v>
      </c>
      <c r="P23" s="2" t="s">
        <v>214</v>
      </c>
      <c r="Q23" s="2">
        <v>352</v>
      </c>
    </row>
    <row r="24" spans="1:17" ht="16">
      <c r="A24" s="2">
        <v>23</v>
      </c>
      <c r="B24" s="3" t="s">
        <v>338</v>
      </c>
      <c r="C24" s="3" t="s">
        <v>1021</v>
      </c>
      <c r="D24" s="2" t="s">
        <v>100</v>
      </c>
      <c r="E24" s="2" t="s">
        <v>149</v>
      </c>
      <c r="F24" s="2" t="s">
        <v>150</v>
      </c>
      <c r="G24" s="2">
        <v>30</v>
      </c>
      <c r="H24" s="2" t="s">
        <v>211</v>
      </c>
      <c r="I24" s="2">
        <v>3156</v>
      </c>
      <c r="J24" s="2" t="s">
        <v>212</v>
      </c>
      <c r="K24" s="2">
        <v>352</v>
      </c>
      <c r="L24" s="2" t="s">
        <v>153</v>
      </c>
      <c r="M24" s="2" t="s">
        <v>213</v>
      </c>
      <c r="N24" s="2">
        <v>1604</v>
      </c>
      <c r="O24" s="2" t="s">
        <v>212</v>
      </c>
      <c r="P24" s="2" t="s">
        <v>214</v>
      </c>
      <c r="Q24" s="2">
        <v>352</v>
      </c>
    </row>
    <row r="25" spans="1:17" ht="16">
      <c r="A25" s="2">
        <v>24</v>
      </c>
      <c r="B25" s="3" t="s">
        <v>338</v>
      </c>
      <c r="C25" s="3" t="s">
        <v>1022</v>
      </c>
      <c r="D25" s="2" t="s">
        <v>100</v>
      </c>
      <c r="E25" s="2" t="s">
        <v>149</v>
      </c>
      <c r="F25" s="2" t="s">
        <v>150</v>
      </c>
      <c r="G25" s="2">
        <v>30</v>
      </c>
      <c r="H25" s="2" t="s">
        <v>211</v>
      </c>
      <c r="I25" s="2">
        <v>3156</v>
      </c>
      <c r="J25" s="2" t="s">
        <v>212</v>
      </c>
      <c r="K25" s="2">
        <v>352</v>
      </c>
      <c r="L25" s="2" t="s">
        <v>153</v>
      </c>
      <c r="M25" s="2" t="s">
        <v>213</v>
      </c>
      <c r="N25" s="2">
        <v>1604</v>
      </c>
      <c r="O25" s="2" t="s">
        <v>212</v>
      </c>
      <c r="P25" s="2" t="s">
        <v>214</v>
      </c>
      <c r="Q25" s="2">
        <v>352</v>
      </c>
    </row>
    <row r="26" spans="1:17" ht="16">
      <c r="A26" s="2">
        <v>25</v>
      </c>
      <c r="B26" s="2" t="s">
        <v>339</v>
      </c>
      <c r="C26" s="3" t="s">
        <v>1023</v>
      </c>
      <c r="D26" s="2" t="s">
        <v>115</v>
      </c>
      <c r="E26" s="2" t="s">
        <v>149</v>
      </c>
      <c r="F26" s="2" t="s">
        <v>215</v>
      </c>
      <c r="G26" s="2">
        <v>25</v>
      </c>
      <c r="H26" s="2" t="s">
        <v>151</v>
      </c>
      <c r="I26" s="2">
        <v>3012</v>
      </c>
      <c r="J26" s="2" t="s">
        <v>152</v>
      </c>
      <c r="K26" s="2">
        <v>292</v>
      </c>
      <c r="L26" s="2" t="s">
        <v>153</v>
      </c>
      <c r="M26" s="2" t="s">
        <v>154</v>
      </c>
      <c r="N26" s="2">
        <v>1508</v>
      </c>
      <c r="O26" s="2" t="s">
        <v>152</v>
      </c>
      <c r="P26" s="2" t="s">
        <v>155</v>
      </c>
      <c r="Q26" s="2">
        <v>292</v>
      </c>
    </row>
    <row r="27" spans="1:17" ht="16">
      <c r="A27" s="2">
        <v>26</v>
      </c>
      <c r="B27" s="2" t="s">
        <v>339</v>
      </c>
      <c r="C27" s="3" t="s">
        <v>1024</v>
      </c>
      <c r="D27" s="2" t="s">
        <v>115</v>
      </c>
      <c r="E27" s="2" t="s">
        <v>149</v>
      </c>
      <c r="F27" s="2" t="s">
        <v>216</v>
      </c>
      <c r="G27" s="2">
        <v>25</v>
      </c>
      <c r="H27" s="2" t="s">
        <v>157</v>
      </c>
      <c r="I27" s="2">
        <v>3024</v>
      </c>
      <c r="J27" s="2" t="s">
        <v>158</v>
      </c>
      <c r="K27" s="2">
        <v>297</v>
      </c>
      <c r="L27" s="2" t="s">
        <v>153</v>
      </c>
      <c r="M27" s="2" t="s">
        <v>159</v>
      </c>
      <c r="N27" s="2">
        <v>1516</v>
      </c>
      <c r="O27" s="2" t="s">
        <v>158</v>
      </c>
      <c r="P27" s="2" t="s">
        <v>160</v>
      </c>
      <c r="Q27" s="2">
        <v>297</v>
      </c>
    </row>
    <row r="28" spans="1:17" ht="16">
      <c r="A28" s="2">
        <v>27</v>
      </c>
      <c r="B28" s="2" t="s">
        <v>339</v>
      </c>
      <c r="C28" s="3" t="s">
        <v>1025</v>
      </c>
      <c r="D28" s="2" t="s">
        <v>115</v>
      </c>
      <c r="E28" s="2" t="s">
        <v>149</v>
      </c>
      <c r="F28" s="2" t="s">
        <v>217</v>
      </c>
      <c r="G28" s="2">
        <v>25</v>
      </c>
      <c r="H28" s="2" t="s">
        <v>162</v>
      </c>
      <c r="I28" s="2">
        <v>3036</v>
      </c>
      <c r="J28" s="2" t="s">
        <v>163</v>
      </c>
      <c r="K28" s="2">
        <v>302</v>
      </c>
      <c r="L28" s="2" t="s">
        <v>153</v>
      </c>
      <c r="M28" s="2" t="s">
        <v>164</v>
      </c>
      <c r="N28" s="2">
        <v>1524</v>
      </c>
      <c r="O28" s="2" t="s">
        <v>163</v>
      </c>
      <c r="P28" s="2" t="s">
        <v>165</v>
      </c>
      <c r="Q28" s="2">
        <v>302</v>
      </c>
    </row>
    <row r="29" spans="1:17" ht="16">
      <c r="A29" s="2">
        <v>28</v>
      </c>
      <c r="B29" s="2" t="s">
        <v>339</v>
      </c>
      <c r="C29" s="3" t="s">
        <v>1026</v>
      </c>
      <c r="D29" s="2" t="s">
        <v>115</v>
      </c>
      <c r="E29" s="2" t="s">
        <v>149</v>
      </c>
      <c r="F29" s="2" t="s">
        <v>218</v>
      </c>
      <c r="G29" s="2">
        <v>25</v>
      </c>
      <c r="H29" s="2" t="s">
        <v>167</v>
      </c>
      <c r="I29" s="2">
        <v>3048</v>
      </c>
      <c r="J29" s="2" t="s">
        <v>168</v>
      </c>
      <c r="K29" s="2">
        <v>307</v>
      </c>
      <c r="L29" s="2" t="s">
        <v>153</v>
      </c>
      <c r="M29" s="2" t="s">
        <v>169</v>
      </c>
      <c r="N29" s="2">
        <v>1532</v>
      </c>
      <c r="O29" s="2" t="s">
        <v>168</v>
      </c>
      <c r="P29" s="2" t="s">
        <v>170</v>
      </c>
      <c r="Q29" s="2">
        <v>307</v>
      </c>
    </row>
    <row r="30" spans="1:17" ht="16">
      <c r="A30" s="2">
        <v>29</v>
      </c>
      <c r="B30" s="2" t="s">
        <v>339</v>
      </c>
      <c r="C30" s="3" t="s">
        <v>1027</v>
      </c>
      <c r="D30" s="2" t="s">
        <v>115</v>
      </c>
      <c r="E30" s="2" t="s">
        <v>149</v>
      </c>
      <c r="F30" s="2" t="s">
        <v>219</v>
      </c>
      <c r="G30" s="2">
        <v>25</v>
      </c>
      <c r="H30" s="2" t="s">
        <v>172</v>
      </c>
      <c r="I30" s="2">
        <v>3060</v>
      </c>
      <c r="J30" s="2" t="s">
        <v>173</v>
      </c>
      <c r="K30" s="2">
        <v>312</v>
      </c>
      <c r="L30" s="2" t="s">
        <v>153</v>
      </c>
      <c r="M30" s="2" t="s">
        <v>174</v>
      </c>
      <c r="N30" s="2">
        <v>1540</v>
      </c>
      <c r="O30" s="2" t="s">
        <v>173</v>
      </c>
      <c r="P30" s="2" t="s">
        <v>175</v>
      </c>
      <c r="Q30" s="2">
        <v>312</v>
      </c>
    </row>
    <row r="31" spans="1:17" ht="16">
      <c r="A31" s="2">
        <v>30</v>
      </c>
      <c r="B31" s="3" t="s">
        <v>340</v>
      </c>
      <c r="C31" s="3" t="s">
        <v>1028</v>
      </c>
      <c r="D31" s="2" t="s">
        <v>100</v>
      </c>
      <c r="E31" s="2" t="s">
        <v>149</v>
      </c>
      <c r="F31" s="2" t="s">
        <v>220</v>
      </c>
      <c r="G31" s="2">
        <v>30</v>
      </c>
      <c r="H31" s="2" t="s">
        <v>151</v>
      </c>
      <c r="I31" s="2">
        <v>3012</v>
      </c>
      <c r="J31" s="2" t="s">
        <v>152</v>
      </c>
      <c r="K31" s="2">
        <v>292</v>
      </c>
      <c r="L31" s="2" t="s">
        <v>153</v>
      </c>
      <c r="M31" s="2" t="s">
        <v>154</v>
      </c>
      <c r="N31" s="2">
        <v>1508</v>
      </c>
      <c r="O31" s="2" t="s">
        <v>152</v>
      </c>
      <c r="P31" s="2" t="s">
        <v>155</v>
      </c>
      <c r="Q31" s="2">
        <v>292</v>
      </c>
    </row>
    <row r="32" spans="1:17" ht="16">
      <c r="A32" s="2">
        <v>31</v>
      </c>
      <c r="B32" s="3" t="s">
        <v>340</v>
      </c>
      <c r="C32" s="3" t="s">
        <v>1029</v>
      </c>
      <c r="D32" s="2" t="s">
        <v>100</v>
      </c>
      <c r="E32" s="2" t="s">
        <v>149</v>
      </c>
      <c r="F32" s="2" t="s">
        <v>221</v>
      </c>
      <c r="G32" s="2">
        <v>30</v>
      </c>
      <c r="H32" s="2" t="s">
        <v>157</v>
      </c>
      <c r="I32" s="2">
        <v>3024</v>
      </c>
      <c r="J32" s="2" t="s">
        <v>158</v>
      </c>
      <c r="K32" s="2">
        <v>297</v>
      </c>
      <c r="L32" s="2" t="s">
        <v>153</v>
      </c>
      <c r="M32" s="2" t="s">
        <v>159</v>
      </c>
      <c r="N32" s="2">
        <v>1516</v>
      </c>
      <c r="O32" s="2" t="s">
        <v>158</v>
      </c>
      <c r="P32" s="2" t="s">
        <v>160</v>
      </c>
      <c r="Q32" s="2">
        <v>297</v>
      </c>
    </row>
    <row r="33" spans="1:17" ht="16">
      <c r="A33" s="2">
        <v>32</v>
      </c>
      <c r="B33" s="3" t="s">
        <v>340</v>
      </c>
      <c r="C33" s="3" t="s">
        <v>1030</v>
      </c>
      <c r="D33" s="2" t="s">
        <v>100</v>
      </c>
      <c r="E33" s="2" t="s">
        <v>149</v>
      </c>
      <c r="F33" s="2" t="s">
        <v>222</v>
      </c>
      <c r="G33" s="2">
        <v>30</v>
      </c>
      <c r="H33" s="2" t="s">
        <v>162</v>
      </c>
      <c r="I33" s="2">
        <v>3036</v>
      </c>
      <c r="J33" s="2" t="s">
        <v>163</v>
      </c>
      <c r="K33" s="2">
        <v>302</v>
      </c>
      <c r="L33" s="2" t="s">
        <v>153</v>
      </c>
      <c r="M33" s="2" t="s">
        <v>164</v>
      </c>
      <c r="N33" s="2">
        <v>1524</v>
      </c>
      <c r="O33" s="2" t="s">
        <v>163</v>
      </c>
      <c r="P33" s="2" t="s">
        <v>165</v>
      </c>
      <c r="Q33" s="2">
        <v>302</v>
      </c>
    </row>
    <row r="34" spans="1:17" ht="16">
      <c r="A34" s="2">
        <v>33</v>
      </c>
      <c r="B34" s="3" t="s">
        <v>340</v>
      </c>
      <c r="C34" s="3" t="s">
        <v>1031</v>
      </c>
      <c r="D34" s="2" t="s">
        <v>100</v>
      </c>
      <c r="E34" s="2" t="s">
        <v>149</v>
      </c>
      <c r="F34" s="2" t="s">
        <v>223</v>
      </c>
      <c r="G34" s="2">
        <v>30</v>
      </c>
      <c r="H34" s="2" t="s">
        <v>167</v>
      </c>
      <c r="I34" s="2">
        <v>3048</v>
      </c>
      <c r="J34" s="2" t="s">
        <v>168</v>
      </c>
      <c r="K34" s="2">
        <v>307</v>
      </c>
      <c r="L34" s="2" t="s">
        <v>153</v>
      </c>
      <c r="M34" s="2" t="s">
        <v>169</v>
      </c>
      <c r="N34" s="2">
        <v>1532</v>
      </c>
      <c r="O34" s="2" t="s">
        <v>168</v>
      </c>
      <c r="P34" s="2" t="s">
        <v>170</v>
      </c>
      <c r="Q34" s="2">
        <v>307</v>
      </c>
    </row>
    <row r="35" spans="1:17" ht="16">
      <c r="A35" s="2">
        <v>34</v>
      </c>
      <c r="B35" s="3" t="s">
        <v>340</v>
      </c>
      <c r="C35" s="3" t="s">
        <v>1032</v>
      </c>
      <c r="D35" s="2" t="s">
        <v>100</v>
      </c>
      <c r="E35" s="2" t="s">
        <v>149</v>
      </c>
      <c r="F35" s="2" t="s">
        <v>224</v>
      </c>
      <c r="G35" s="2">
        <v>30</v>
      </c>
      <c r="H35" s="2" t="s">
        <v>172</v>
      </c>
      <c r="I35" s="2">
        <v>3060</v>
      </c>
      <c r="J35" s="2" t="s">
        <v>173</v>
      </c>
      <c r="K35" s="2">
        <v>312</v>
      </c>
      <c r="L35" s="2" t="s">
        <v>153</v>
      </c>
      <c r="M35" s="2" t="s">
        <v>174</v>
      </c>
      <c r="N35" s="2">
        <v>1540</v>
      </c>
      <c r="O35" s="2" t="s">
        <v>173</v>
      </c>
      <c r="P35" s="2" t="s">
        <v>175</v>
      </c>
      <c r="Q35" s="2">
        <v>312</v>
      </c>
    </row>
    <row r="36" spans="1:17" ht="16">
      <c r="A36" s="2">
        <v>35</v>
      </c>
      <c r="B36" s="3" t="s">
        <v>340</v>
      </c>
      <c r="C36" s="3" t="s">
        <v>1033</v>
      </c>
      <c r="D36" s="2" t="s">
        <v>100</v>
      </c>
      <c r="E36" s="2" t="s">
        <v>149</v>
      </c>
      <c r="F36" s="2" t="s">
        <v>225</v>
      </c>
      <c r="G36" s="2">
        <v>30</v>
      </c>
      <c r="H36" s="2" t="s">
        <v>177</v>
      </c>
      <c r="I36" s="2">
        <v>3072</v>
      </c>
      <c r="J36" s="2" t="s">
        <v>178</v>
      </c>
      <c r="K36" s="2">
        <v>317</v>
      </c>
      <c r="L36" s="2" t="s">
        <v>153</v>
      </c>
      <c r="M36" s="2" t="s">
        <v>179</v>
      </c>
      <c r="N36" s="2">
        <v>1548</v>
      </c>
      <c r="O36" s="2" t="s">
        <v>178</v>
      </c>
      <c r="P36" s="2" t="s">
        <v>180</v>
      </c>
      <c r="Q36" s="2">
        <v>317</v>
      </c>
    </row>
    <row r="37" spans="1:17" ht="16">
      <c r="A37" s="2">
        <v>36</v>
      </c>
      <c r="B37" s="3" t="s">
        <v>340</v>
      </c>
      <c r="C37" s="3" t="s">
        <v>1034</v>
      </c>
      <c r="D37" s="2" t="s">
        <v>100</v>
      </c>
      <c r="E37" s="2" t="s">
        <v>149</v>
      </c>
      <c r="F37" s="2" t="s">
        <v>226</v>
      </c>
      <c r="G37" s="2">
        <v>30</v>
      </c>
      <c r="H37" s="2" t="s">
        <v>182</v>
      </c>
      <c r="I37" s="2">
        <v>3084</v>
      </c>
      <c r="J37" s="2" t="s">
        <v>183</v>
      </c>
      <c r="K37" s="2">
        <v>322</v>
      </c>
      <c r="L37" s="2" t="s">
        <v>153</v>
      </c>
      <c r="M37" s="2" t="s">
        <v>184</v>
      </c>
      <c r="N37" s="2">
        <v>1556</v>
      </c>
      <c r="O37" s="2" t="s">
        <v>183</v>
      </c>
      <c r="P37" s="2" t="s">
        <v>185</v>
      </c>
      <c r="Q37" s="2">
        <v>322</v>
      </c>
    </row>
    <row r="38" spans="1:17" ht="16">
      <c r="A38" s="2">
        <v>37</v>
      </c>
      <c r="B38" s="3" t="s">
        <v>340</v>
      </c>
      <c r="C38" s="3" t="s">
        <v>1035</v>
      </c>
      <c r="D38" s="2" t="s">
        <v>100</v>
      </c>
      <c r="E38" s="2" t="s">
        <v>149</v>
      </c>
      <c r="F38" s="2" t="s">
        <v>227</v>
      </c>
      <c r="G38" s="2">
        <v>30</v>
      </c>
      <c r="H38" s="2" t="s">
        <v>187</v>
      </c>
      <c r="I38" s="2">
        <v>3096</v>
      </c>
      <c r="J38" s="2" t="s">
        <v>188</v>
      </c>
      <c r="K38" s="2">
        <v>327</v>
      </c>
      <c r="L38" s="2" t="s">
        <v>153</v>
      </c>
      <c r="M38" s="2" t="s">
        <v>189</v>
      </c>
      <c r="N38" s="2">
        <v>1564</v>
      </c>
      <c r="O38" s="2" t="s">
        <v>188</v>
      </c>
      <c r="P38" s="2" t="s">
        <v>190</v>
      </c>
      <c r="Q38" s="2">
        <v>327</v>
      </c>
    </row>
    <row r="39" spans="1:17" ht="16">
      <c r="A39" s="2">
        <v>38</v>
      </c>
      <c r="B39" s="3" t="s">
        <v>337</v>
      </c>
      <c r="C39" s="3" t="s">
        <v>1036</v>
      </c>
      <c r="D39" s="2" t="s">
        <v>116</v>
      </c>
      <c r="E39" s="2" t="s">
        <v>149</v>
      </c>
      <c r="F39" s="2" t="s">
        <v>228</v>
      </c>
      <c r="G39" s="2">
        <v>28</v>
      </c>
      <c r="H39" s="2" t="s">
        <v>151</v>
      </c>
      <c r="I39" s="2">
        <v>3012</v>
      </c>
      <c r="J39" s="2" t="s">
        <v>152</v>
      </c>
      <c r="K39" s="2">
        <v>292</v>
      </c>
      <c r="L39" s="2" t="s">
        <v>153</v>
      </c>
      <c r="M39" s="2" t="s">
        <v>154</v>
      </c>
      <c r="N39" s="2">
        <v>1508</v>
      </c>
      <c r="O39" s="2" t="s">
        <v>152</v>
      </c>
      <c r="P39" s="2" t="s">
        <v>155</v>
      </c>
      <c r="Q39" s="2">
        <v>292</v>
      </c>
    </row>
    <row r="40" spans="1:17" ht="16">
      <c r="A40" s="2">
        <v>39</v>
      </c>
      <c r="B40" s="3" t="s">
        <v>337</v>
      </c>
      <c r="C40" s="3" t="s">
        <v>1037</v>
      </c>
      <c r="D40" s="2" t="s">
        <v>116</v>
      </c>
      <c r="E40" s="2" t="s">
        <v>149</v>
      </c>
      <c r="F40" s="2" t="s">
        <v>229</v>
      </c>
      <c r="G40" s="2">
        <v>28</v>
      </c>
      <c r="H40" s="2" t="s">
        <v>157</v>
      </c>
      <c r="I40" s="2">
        <v>3024</v>
      </c>
      <c r="J40" s="2" t="s">
        <v>158</v>
      </c>
      <c r="K40" s="2">
        <v>297</v>
      </c>
      <c r="L40" s="2" t="s">
        <v>153</v>
      </c>
      <c r="M40" s="2" t="s">
        <v>159</v>
      </c>
      <c r="N40" s="2">
        <v>1516</v>
      </c>
      <c r="O40" s="2" t="s">
        <v>158</v>
      </c>
      <c r="P40" s="2" t="s">
        <v>160</v>
      </c>
      <c r="Q40" s="2">
        <v>297</v>
      </c>
    </row>
    <row r="41" spans="1:17" ht="16">
      <c r="A41" s="2">
        <v>40</v>
      </c>
      <c r="B41" s="3" t="s">
        <v>337</v>
      </c>
      <c r="C41" s="3" t="s">
        <v>1038</v>
      </c>
      <c r="D41" s="2" t="s">
        <v>116</v>
      </c>
      <c r="E41" s="2" t="s">
        <v>149</v>
      </c>
      <c r="F41" s="2" t="s">
        <v>230</v>
      </c>
      <c r="G41" s="2">
        <v>28</v>
      </c>
      <c r="H41" s="2" t="s">
        <v>162</v>
      </c>
      <c r="I41" s="2">
        <v>3036</v>
      </c>
      <c r="J41" s="2" t="s">
        <v>163</v>
      </c>
      <c r="K41" s="2">
        <v>302</v>
      </c>
      <c r="L41" s="2" t="s">
        <v>153</v>
      </c>
      <c r="M41" s="2" t="s">
        <v>164</v>
      </c>
      <c r="N41" s="2">
        <v>1524</v>
      </c>
      <c r="O41" s="2" t="s">
        <v>163</v>
      </c>
      <c r="P41" s="2" t="s">
        <v>165</v>
      </c>
      <c r="Q41" s="2">
        <v>302</v>
      </c>
    </row>
    <row r="42" spans="1:17" ht="16">
      <c r="A42" s="2">
        <v>41</v>
      </c>
      <c r="B42" s="3" t="s">
        <v>337</v>
      </c>
      <c r="C42" s="3" t="s">
        <v>1039</v>
      </c>
      <c r="D42" s="2" t="s">
        <v>116</v>
      </c>
      <c r="E42" s="2" t="s">
        <v>149</v>
      </c>
      <c r="F42" s="2" t="s">
        <v>231</v>
      </c>
      <c r="G42" s="2">
        <v>28</v>
      </c>
      <c r="H42" s="2" t="s">
        <v>167</v>
      </c>
      <c r="I42" s="2">
        <v>3048</v>
      </c>
      <c r="J42" s="2" t="s">
        <v>168</v>
      </c>
      <c r="K42" s="2">
        <v>307</v>
      </c>
      <c r="L42" s="2" t="s">
        <v>153</v>
      </c>
      <c r="M42" s="2" t="s">
        <v>169</v>
      </c>
      <c r="N42" s="2">
        <v>1532</v>
      </c>
      <c r="O42" s="2" t="s">
        <v>168</v>
      </c>
      <c r="P42" s="2" t="s">
        <v>170</v>
      </c>
      <c r="Q42" s="2">
        <v>307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6"/>
  <sheetViews>
    <sheetView zoomScale="200" workbookViewId="0">
      <selection activeCell="D12" sqref="D12"/>
    </sheetView>
  </sheetViews>
  <sheetFormatPr baseColWidth="10" defaultColWidth="9.5" defaultRowHeight="15"/>
  <cols>
    <col min="2" max="2" width="10" customWidth="1"/>
    <col min="3" max="4" width="18" customWidth="1"/>
    <col min="5" max="5" width="10" customWidth="1"/>
  </cols>
  <sheetData>
    <row r="1" spans="1:5" ht="16">
      <c r="A1" s="9" t="s">
        <v>577</v>
      </c>
      <c r="B1" s="1" t="s">
        <v>26</v>
      </c>
      <c r="C1" s="1" t="s">
        <v>98</v>
      </c>
      <c r="D1" s="4" t="s">
        <v>584</v>
      </c>
      <c r="E1" s="4" t="s">
        <v>578</v>
      </c>
    </row>
    <row r="2" spans="1:5" ht="16">
      <c r="A2" s="9" t="s">
        <v>585</v>
      </c>
      <c r="B2" s="2">
        <v>1</v>
      </c>
      <c r="C2" s="2" t="s">
        <v>99</v>
      </c>
      <c r="D2" s="2"/>
      <c r="E2" s="2" t="str">
        <f>A2</f>
        <v>z01</v>
      </c>
    </row>
    <row r="3" spans="1:5" ht="16">
      <c r="A3" s="9" t="s">
        <v>586</v>
      </c>
      <c r="B3" s="2">
        <v>2</v>
      </c>
      <c r="C3" s="2" t="s">
        <v>100</v>
      </c>
      <c r="D3" s="3" t="s">
        <v>585</v>
      </c>
      <c r="E3" s="2" t="str">
        <f t="shared" ref="E3:E36" si="0">A3</f>
        <v>z02</v>
      </c>
    </row>
    <row r="4" spans="1:5" ht="16">
      <c r="A4" s="9" t="s">
        <v>587</v>
      </c>
      <c r="B4" s="2">
        <v>3</v>
      </c>
      <c r="C4" s="2" t="s">
        <v>101</v>
      </c>
      <c r="D4" s="3" t="s">
        <v>586</v>
      </c>
      <c r="E4" s="2" t="str">
        <f t="shared" si="0"/>
        <v>z03</v>
      </c>
    </row>
    <row r="5" spans="1:5" ht="16">
      <c r="A5" s="9" t="s">
        <v>588</v>
      </c>
      <c r="B5" s="2">
        <v>4</v>
      </c>
      <c r="C5" s="2" t="s">
        <v>102</v>
      </c>
      <c r="D5" s="3" t="s">
        <v>587</v>
      </c>
      <c r="E5" s="2" t="str">
        <f t="shared" si="0"/>
        <v>z04</v>
      </c>
    </row>
    <row r="6" spans="1:5" ht="16">
      <c r="A6" s="9" t="s">
        <v>589</v>
      </c>
      <c r="B6" s="2">
        <v>4</v>
      </c>
      <c r="C6" s="2" t="s">
        <v>103</v>
      </c>
      <c r="D6" s="3" t="s">
        <v>587</v>
      </c>
      <c r="E6" s="2" t="str">
        <f t="shared" si="0"/>
        <v>z05</v>
      </c>
    </row>
    <row r="7" spans="1:5" ht="16">
      <c r="A7" s="9" t="s">
        <v>590</v>
      </c>
      <c r="B7" s="2">
        <v>3</v>
      </c>
      <c r="C7" s="2" t="s">
        <v>104</v>
      </c>
      <c r="D7" s="2" t="str">
        <f>A3</f>
        <v>z02</v>
      </c>
      <c r="E7" s="2" t="str">
        <f t="shared" si="0"/>
        <v>z06</v>
      </c>
    </row>
    <row r="8" spans="1:5" ht="16">
      <c r="A8" s="9" t="s">
        <v>591</v>
      </c>
      <c r="B8" s="2">
        <v>4</v>
      </c>
      <c r="C8" s="2" t="s">
        <v>105</v>
      </c>
      <c r="D8" s="2" t="str">
        <f>A7</f>
        <v>z06</v>
      </c>
      <c r="E8" s="2" t="str">
        <f t="shared" si="0"/>
        <v>z07</v>
      </c>
    </row>
    <row r="9" spans="1:5" ht="16">
      <c r="A9" s="9" t="s">
        <v>592</v>
      </c>
      <c r="B9" s="2">
        <v>4</v>
      </c>
      <c r="C9" s="2" t="s">
        <v>106</v>
      </c>
      <c r="D9" s="2" t="str">
        <f>D8</f>
        <v>z06</v>
      </c>
      <c r="E9" s="2" t="str">
        <f t="shared" si="0"/>
        <v>z08</v>
      </c>
    </row>
    <row r="10" spans="1:5" ht="16">
      <c r="A10" s="9" t="s">
        <v>593</v>
      </c>
      <c r="B10" s="2">
        <v>4</v>
      </c>
      <c r="C10" s="2" t="s">
        <v>107</v>
      </c>
      <c r="D10" s="2" t="str">
        <f>D9</f>
        <v>z06</v>
      </c>
      <c r="E10" s="2" t="str">
        <f t="shared" si="0"/>
        <v>z09</v>
      </c>
    </row>
    <row r="11" spans="1:5" ht="16">
      <c r="A11" s="9" t="s">
        <v>594</v>
      </c>
      <c r="B11" s="2">
        <v>4</v>
      </c>
      <c r="C11" s="2" t="s">
        <v>108</v>
      </c>
      <c r="D11" s="2" t="str">
        <f>D10</f>
        <v>z06</v>
      </c>
      <c r="E11" s="2" t="str">
        <f t="shared" si="0"/>
        <v>z10</v>
      </c>
    </row>
    <row r="12" spans="1:5" ht="16">
      <c r="A12" s="9" t="s">
        <v>595</v>
      </c>
      <c r="B12" s="2">
        <v>4</v>
      </c>
      <c r="C12" s="2" t="s">
        <v>109</v>
      </c>
      <c r="D12" s="2" t="str">
        <f>D11</f>
        <v>z06</v>
      </c>
      <c r="E12" s="2" t="str">
        <f t="shared" si="0"/>
        <v>z11</v>
      </c>
    </row>
    <row r="13" spans="1:5" ht="16">
      <c r="A13" s="9" t="s">
        <v>596</v>
      </c>
      <c r="B13" s="2">
        <v>3</v>
      </c>
      <c r="C13" s="2" t="s">
        <v>110</v>
      </c>
      <c r="D13" s="2" t="str">
        <f>A3</f>
        <v>z02</v>
      </c>
      <c r="E13" s="2" t="str">
        <f t="shared" si="0"/>
        <v>z12</v>
      </c>
    </row>
    <row r="14" spans="1:5" ht="16">
      <c r="A14" s="9" t="s">
        <v>597</v>
      </c>
      <c r="B14" s="2">
        <v>4</v>
      </c>
      <c r="C14" s="2" t="s">
        <v>111</v>
      </c>
      <c r="D14" s="2" t="str">
        <f>A13</f>
        <v>z12</v>
      </c>
      <c r="E14" s="2" t="str">
        <f t="shared" si="0"/>
        <v>z13</v>
      </c>
    </row>
    <row r="15" spans="1:5" ht="16">
      <c r="A15" s="9" t="s">
        <v>598</v>
      </c>
      <c r="B15" s="2">
        <v>4</v>
      </c>
      <c r="C15" s="2" t="s">
        <v>112</v>
      </c>
      <c r="D15" s="2" t="str">
        <f>D14</f>
        <v>z12</v>
      </c>
      <c r="E15" s="2" t="str">
        <f t="shared" si="0"/>
        <v>z14</v>
      </c>
    </row>
    <row r="16" spans="1:5" ht="16">
      <c r="A16" s="9" t="s">
        <v>599</v>
      </c>
      <c r="B16" s="2">
        <v>4</v>
      </c>
      <c r="C16" s="2" t="s">
        <v>113</v>
      </c>
      <c r="D16" s="2" t="str">
        <f>D15</f>
        <v>z12</v>
      </c>
      <c r="E16" s="2" t="str">
        <f t="shared" si="0"/>
        <v>z15</v>
      </c>
    </row>
    <row r="17" spans="1:5" ht="16">
      <c r="A17" s="9" t="s">
        <v>600</v>
      </c>
      <c r="B17" s="2">
        <v>4</v>
      </c>
      <c r="C17" s="2" t="s">
        <v>114</v>
      </c>
      <c r="D17" s="2" t="str">
        <f>D16</f>
        <v>z12</v>
      </c>
      <c r="E17" s="2" t="str">
        <f t="shared" si="0"/>
        <v>z16</v>
      </c>
    </row>
    <row r="18" spans="1:5" ht="16">
      <c r="A18" s="9" t="s">
        <v>601</v>
      </c>
      <c r="B18" s="2">
        <v>2</v>
      </c>
      <c r="C18" s="2" t="s">
        <v>115</v>
      </c>
      <c r="D18" s="3" t="s">
        <v>585</v>
      </c>
      <c r="E18" s="2" t="str">
        <f t="shared" si="0"/>
        <v>z17</v>
      </c>
    </row>
    <row r="19" spans="1:5" ht="16">
      <c r="A19" s="9" t="s">
        <v>602</v>
      </c>
      <c r="B19" s="2">
        <v>2</v>
      </c>
      <c r="C19" s="2" t="s">
        <v>116</v>
      </c>
      <c r="D19" s="3" t="s">
        <v>585</v>
      </c>
      <c r="E19" s="2" t="str">
        <f t="shared" si="0"/>
        <v>z18</v>
      </c>
    </row>
    <row r="20" spans="1:5" ht="16">
      <c r="A20" s="9" t="s">
        <v>603</v>
      </c>
      <c r="B20" s="2">
        <v>1</v>
      </c>
      <c r="C20" s="2" t="s">
        <v>117</v>
      </c>
      <c r="D20" s="2"/>
      <c r="E20" s="2" t="str">
        <f t="shared" si="0"/>
        <v>z19</v>
      </c>
    </row>
    <row r="21" spans="1:5" ht="16">
      <c r="A21" s="9" t="s">
        <v>604</v>
      </c>
      <c r="B21" s="2">
        <v>2</v>
      </c>
      <c r="C21" s="2" t="s">
        <v>118</v>
      </c>
      <c r="D21" s="3" t="s">
        <v>603</v>
      </c>
      <c r="E21" s="2" t="str">
        <f t="shared" si="0"/>
        <v>z20</v>
      </c>
    </row>
    <row r="22" spans="1:5" ht="16">
      <c r="A22" s="9" t="s">
        <v>605</v>
      </c>
      <c r="B22" s="2">
        <v>3</v>
      </c>
      <c r="C22" s="2" t="s">
        <v>119</v>
      </c>
      <c r="D22" s="2" t="str">
        <f>A21</f>
        <v>z20</v>
      </c>
      <c r="E22" s="2" t="str">
        <f t="shared" si="0"/>
        <v>z21</v>
      </c>
    </row>
    <row r="23" spans="1:5" ht="16">
      <c r="A23" s="9" t="s">
        <v>606</v>
      </c>
      <c r="B23" s="2">
        <v>3</v>
      </c>
      <c r="C23" s="2" t="s">
        <v>120</v>
      </c>
      <c r="D23" s="2" t="str">
        <f>D22</f>
        <v>z20</v>
      </c>
      <c r="E23" s="2" t="str">
        <f t="shared" si="0"/>
        <v>z22</v>
      </c>
    </row>
    <row r="24" spans="1:5" ht="16">
      <c r="A24" s="9" t="s">
        <v>607</v>
      </c>
      <c r="B24" s="2">
        <v>3</v>
      </c>
      <c r="C24" s="2" t="s">
        <v>121</v>
      </c>
      <c r="D24" s="2" t="str">
        <f>D23</f>
        <v>z20</v>
      </c>
      <c r="E24" s="2" t="str">
        <f t="shared" si="0"/>
        <v>z23</v>
      </c>
    </row>
    <row r="25" spans="1:5" ht="16">
      <c r="A25" s="9" t="s">
        <v>608</v>
      </c>
      <c r="B25" s="2">
        <v>2</v>
      </c>
      <c r="C25" s="2" t="s">
        <v>122</v>
      </c>
      <c r="D25" s="3" t="s">
        <v>603</v>
      </c>
      <c r="E25" s="2" t="str">
        <f t="shared" si="0"/>
        <v>z24</v>
      </c>
    </row>
    <row r="26" spans="1:5" ht="16">
      <c r="A26" s="9" t="s">
        <v>609</v>
      </c>
      <c r="B26" s="2">
        <v>3</v>
      </c>
      <c r="C26" s="2" t="s">
        <v>123</v>
      </c>
      <c r="D26" s="2" t="str">
        <f>A25</f>
        <v>z24</v>
      </c>
      <c r="E26" s="2" t="str">
        <f t="shared" si="0"/>
        <v>z25</v>
      </c>
    </row>
    <row r="27" spans="1:5" ht="16">
      <c r="A27" s="9" t="s">
        <v>610</v>
      </c>
      <c r="B27" s="2">
        <v>3</v>
      </c>
      <c r="C27" s="2" t="s">
        <v>124</v>
      </c>
      <c r="D27" s="2" t="str">
        <f>D26</f>
        <v>z24</v>
      </c>
      <c r="E27" s="2" t="str">
        <f t="shared" si="0"/>
        <v>z26</v>
      </c>
    </row>
    <row r="28" spans="1:5" ht="16">
      <c r="A28" s="9" t="s">
        <v>611</v>
      </c>
      <c r="B28" s="2">
        <v>3</v>
      </c>
      <c r="C28" s="2" t="s">
        <v>125</v>
      </c>
      <c r="D28" s="2" t="str">
        <f>D27</f>
        <v>z24</v>
      </c>
      <c r="E28" s="2" t="str">
        <f t="shared" si="0"/>
        <v>z27</v>
      </c>
    </row>
    <row r="29" spans="1:5" ht="16">
      <c r="A29" s="9" t="s">
        <v>612</v>
      </c>
      <c r="B29" s="2">
        <v>3</v>
      </c>
      <c r="C29" s="2" t="s">
        <v>126</v>
      </c>
      <c r="D29" s="2" t="str">
        <f>D28</f>
        <v>z24</v>
      </c>
      <c r="E29" s="2" t="str">
        <f t="shared" si="0"/>
        <v>z28</v>
      </c>
    </row>
    <row r="30" spans="1:5" ht="16">
      <c r="A30" s="9" t="s">
        <v>613</v>
      </c>
      <c r="B30" s="2">
        <v>2</v>
      </c>
      <c r="C30" s="2" t="s">
        <v>127</v>
      </c>
      <c r="D30" s="3" t="s">
        <v>603</v>
      </c>
      <c r="E30" s="2" t="str">
        <f t="shared" si="0"/>
        <v>z29</v>
      </c>
    </row>
    <row r="31" spans="1:5" ht="16">
      <c r="A31" s="9" t="s">
        <v>614</v>
      </c>
      <c r="B31" s="2">
        <v>3</v>
      </c>
      <c r="C31" s="2" t="s">
        <v>128</v>
      </c>
      <c r="D31" s="2" t="str">
        <f>A30</f>
        <v>z29</v>
      </c>
      <c r="E31" s="2" t="str">
        <f t="shared" si="0"/>
        <v>z30</v>
      </c>
    </row>
    <row r="32" spans="1:5" ht="16">
      <c r="A32" s="9" t="s">
        <v>615</v>
      </c>
      <c r="B32" s="2">
        <v>3</v>
      </c>
      <c r="C32" s="2" t="s">
        <v>129</v>
      </c>
      <c r="D32" s="2" t="str">
        <f>D31</f>
        <v>z29</v>
      </c>
      <c r="E32" s="2" t="str">
        <f t="shared" si="0"/>
        <v>z31</v>
      </c>
    </row>
    <row r="33" spans="1:5" ht="16">
      <c r="A33" s="9" t="s">
        <v>616</v>
      </c>
      <c r="B33" s="2">
        <v>3</v>
      </c>
      <c r="C33" s="2" t="s">
        <v>130</v>
      </c>
      <c r="D33" s="2" t="str">
        <f>D32</f>
        <v>z29</v>
      </c>
      <c r="E33" s="2" t="str">
        <f t="shared" si="0"/>
        <v>z32</v>
      </c>
    </row>
    <row r="34" spans="1:5" ht="16">
      <c r="A34" s="9" t="s">
        <v>617</v>
      </c>
      <c r="B34" s="2">
        <v>2</v>
      </c>
      <c r="C34" s="2" t="s">
        <v>131</v>
      </c>
      <c r="D34" s="3" t="s">
        <v>603</v>
      </c>
      <c r="E34" s="2" t="str">
        <f t="shared" si="0"/>
        <v>z33</v>
      </c>
    </row>
    <row r="35" spans="1:5" ht="16">
      <c r="A35" s="9" t="s">
        <v>618</v>
      </c>
      <c r="B35" s="2">
        <v>3</v>
      </c>
      <c r="C35" s="2" t="s">
        <v>132</v>
      </c>
      <c r="D35" s="2" t="str">
        <f>A34</f>
        <v>z33</v>
      </c>
      <c r="E35" s="2" t="str">
        <f t="shared" si="0"/>
        <v>z34</v>
      </c>
    </row>
    <row r="36" spans="1:5" ht="16">
      <c r="A36" s="9" t="s">
        <v>619</v>
      </c>
      <c r="B36" s="2">
        <v>3</v>
      </c>
      <c r="C36" s="2" t="s">
        <v>133</v>
      </c>
      <c r="D36" s="2" t="str">
        <f>A35</f>
        <v>z34</v>
      </c>
      <c r="E36" s="2" t="str">
        <f t="shared" si="0"/>
        <v>z35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4"/>
  <sheetViews>
    <sheetView zoomScale="150" workbookViewId="0">
      <selection activeCell="D16" sqref="D16"/>
    </sheetView>
  </sheetViews>
  <sheetFormatPr baseColWidth="10" defaultColWidth="9.5" defaultRowHeight="15"/>
  <cols>
    <col min="1" max="1" width="10" customWidth="1"/>
    <col min="2" max="3" width="18" customWidth="1"/>
    <col min="4" max="6" width="10" customWidth="1"/>
  </cols>
  <sheetData>
    <row r="1" spans="1:6" ht="16">
      <c r="A1" s="1" t="s">
        <v>0</v>
      </c>
      <c r="B1" s="1" t="s">
        <v>232</v>
      </c>
      <c r="C1" s="4" t="s">
        <v>620</v>
      </c>
      <c r="D1" s="1" t="s">
        <v>233</v>
      </c>
      <c r="E1" s="1" t="s">
        <v>234</v>
      </c>
      <c r="F1" s="4" t="s">
        <v>242</v>
      </c>
    </row>
    <row r="2" spans="1:6" ht="16">
      <c r="A2" s="2">
        <v>1</v>
      </c>
      <c r="B2" s="2" t="s">
        <v>100</v>
      </c>
      <c r="C2" s="2" t="str">
        <f>VLOOKUP(B2,保障组织结构树!C:E,3,0)</f>
        <v>z02</v>
      </c>
      <c r="D2" s="3" t="s">
        <v>237</v>
      </c>
      <c r="E2" s="3" t="s">
        <v>638</v>
      </c>
      <c r="F2" s="2">
        <v>8</v>
      </c>
    </row>
    <row r="3" spans="1:6" ht="16">
      <c r="A3" s="2">
        <v>2</v>
      </c>
      <c r="B3" s="2" t="s">
        <v>100</v>
      </c>
      <c r="C3" s="2" t="str">
        <f>VLOOKUP(B3,保障组织结构树!C:E,3,0)</f>
        <v>z02</v>
      </c>
      <c r="D3" s="3" t="s">
        <v>237</v>
      </c>
      <c r="E3" s="3" t="s">
        <v>639</v>
      </c>
      <c r="F3" s="2">
        <v>8</v>
      </c>
    </row>
    <row r="4" spans="1:6" ht="16">
      <c r="A4" s="2">
        <v>3</v>
      </c>
      <c r="B4" s="2" t="s">
        <v>100</v>
      </c>
      <c r="C4" s="2" t="str">
        <f>VLOOKUP(B4,保障组织结构树!C:E,3,0)</f>
        <v>z02</v>
      </c>
      <c r="D4" s="3" t="s">
        <v>236</v>
      </c>
      <c r="E4" s="3" t="s">
        <v>638</v>
      </c>
      <c r="F4" s="2">
        <v>8</v>
      </c>
    </row>
    <row r="5" spans="1:6" ht="16">
      <c r="A5" s="2">
        <v>4</v>
      </c>
      <c r="B5" s="2" t="s">
        <v>100</v>
      </c>
      <c r="C5" s="2" t="str">
        <f>VLOOKUP(B5,保障组织结构树!C:E,3,0)</f>
        <v>z02</v>
      </c>
      <c r="D5" s="3" t="s">
        <v>236</v>
      </c>
      <c r="E5" s="3" t="s">
        <v>639</v>
      </c>
      <c r="F5" s="2">
        <v>8</v>
      </c>
    </row>
    <row r="6" spans="1:6" ht="16">
      <c r="A6" s="2">
        <v>5</v>
      </c>
      <c r="B6" s="2" t="s">
        <v>100</v>
      </c>
      <c r="C6" s="2" t="str">
        <f>VLOOKUP(B6,保障组织结构树!C:E,3,0)</f>
        <v>z02</v>
      </c>
      <c r="D6" s="2" t="s">
        <v>235</v>
      </c>
      <c r="E6" s="3" t="s">
        <v>638</v>
      </c>
      <c r="F6" s="2">
        <v>8</v>
      </c>
    </row>
    <row r="7" spans="1:6" ht="16">
      <c r="A7" s="2">
        <v>6</v>
      </c>
      <c r="B7" s="2" t="s">
        <v>100</v>
      </c>
      <c r="C7" s="2" t="str">
        <f>VLOOKUP(B7,保障组织结构树!C:E,3,0)</f>
        <v>z02</v>
      </c>
      <c r="D7" s="2" t="s">
        <v>235</v>
      </c>
      <c r="E7" s="3" t="s">
        <v>639</v>
      </c>
      <c r="F7" s="2">
        <v>8</v>
      </c>
    </row>
    <row r="8" spans="1:6" ht="16">
      <c r="A8" s="2">
        <v>7</v>
      </c>
      <c r="B8" s="2" t="s">
        <v>100</v>
      </c>
      <c r="C8" s="2" t="str">
        <f>VLOOKUP(B8,保障组织结构树!C:E,3,0)</f>
        <v>z02</v>
      </c>
      <c r="D8" s="3" t="s">
        <v>239</v>
      </c>
      <c r="E8" s="3" t="s">
        <v>638</v>
      </c>
      <c r="F8" s="2">
        <v>8</v>
      </c>
    </row>
    <row r="9" spans="1:6" ht="16">
      <c r="A9" s="2">
        <v>8</v>
      </c>
      <c r="B9" s="2" t="s">
        <v>100</v>
      </c>
      <c r="C9" s="2" t="str">
        <f>VLOOKUP(B9,保障组织结构树!C:E,3,0)</f>
        <v>z02</v>
      </c>
      <c r="D9" s="3" t="s">
        <v>239</v>
      </c>
      <c r="E9" s="3" t="s">
        <v>639</v>
      </c>
      <c r="F9" s="2">
        <v>8</v>
      </c>
    </row>
    <row r="10" spans="1:6" ht="16">
      <c r="A10" s="2">
        <v>9</v>
      </c>
      <c r="B10" s="2" t="s">
        <v>115</v>
      </c>
      <c r="C10" s="2" t="str">
        <f>VLOOKUP(B10,保障组织结构树!C:E,3,0)</f>
        <v>z17</v>
      </c>
      <c r="D10" s="3" t="s">
        <v>237</v>
      </c>
      <c r="E10" s="3" t="s">
        <v>638</v>
      </c>
      <c r="F10" s="2">
        <v>8</v>
      </c>
    </row>
    <row r="11" spans="1:6" ht="16">
      <c r="A11" s="2">
        <v>10</v>
      </c>
      <c r="B11" s="2" t="s">
        <v>115</v>
      </c>
      <c r="C11" s="2" t="str">
        <f>VLOOKUP(B11,保障组织结构树!C:E,3,0)</f>
        <v>z17</v>
      </c>
      <c r="D11" s="3" t="s">
        <v>237</v>
      </c>
      <c r="E11" s="3" t="s">
        <v>639</v>
      </c>
      <c r="F11" s="2">
        <v>8</v>
      </c>
    </row>
    <row r="12" spans="1:6" ht="16">
      <c r="A12" s="2">
        <v>11</v>
      </c>
      <c r="B12" s="2" t="s">
        <v>115</v>
      </c>
      <c r="C12" s="2" t="str">
        <f>VLOOKUP(B12,保障组织结构树!C:E,3,0)</f>
        <v>z17</v>
      </c>
      <c r="D12" s="3" t="s">
        <v>236</v>
      </c>
      <c r="E12" s="3" t="s">
        <v>638</v>
      </c>
      <c r="F12" s="2">
        <v>8</v>
      </c>
    </row>
    <row r="13" spans="1:6" ht="16">
      <c r="A13" s="2">
        <v>12</v>
      </c>
      <c r="B13" s="2" t="s">
        <v>115</v>
      </c>
      <c r="C13" s="2" t="str">
        <f>VLOOKUP(B13,保障组织结构树!C:E,3,0)</f>
        <v>z17</v>
      </c>
      <c r="D13" s="3" t="s">
        <v>236</v>
      </c>
      <c r="E13" s="3" t="s">
        <v>639</v>
      </c>
      <c r="F13" s="2">
        <v>8</v>
      </c>
    </row>
    <row r="14" spans="1:6" ht="16">
      <c r="A14" s="2">
        <v>13</v>
      </c>
      <c r="B14" s="2" t="s">
        <v>115</v>
      </c>
      <c r="C14" s="2" t="str">
        <f>VLOOKUP(B14,保障组织结构树!C:E,3,0)</f>
        <v>z17</v>
      </c>
      <c r="D14" s="3" t="s">
        <v>805</v>
      </c>
      <c r="E14" s="3" t="s">
        <v>638</v>
      </c>
      <c r="F14" s="2">
        <v>8</v>
      </c>
    </row>
    <row r="15" spans="1:6" ht="16">
      <c r="A15" s="2">
        <v>14</v>
      </c>
      <c r="B15" s="2" t="s">
        <v>115</v>
      </c>
      <c r="C15" s="2" t="str">
        <f>VLOOKUP(B15,保障组织结构树!C:E,3,0)</f>
        <v>z17</v>
      </c>
      <c r="D15" s="3" t="s">
        <v>805</v>
      </c>
      <c r="E15" s="3" t="s">
        <v>639</v>
      </c>
      <c r="F15" s="2">
        <v>8</v>
      </c>
    </row>
    <row r="16" spans="1:6" ht="16">
      <c r="A16" s="2">
        <v>15</v>
      </c>
      <c r="B16" s="2" t="s">
        <v>115</v>
      </c>
      <c r="C16" s="2" t="str">
        <f>VLOOKUP(B16,保障组织结构树!C:E,3,0)</f>
        <v>z17</v>
      </c>
      <c r="D16" s="3" t="s">
        <v>239</v>
      </c>
      <c r="E16" s="3" t="s">
        <v>638</v>
      </c>
      <c r="F16" s="2">
        <v>8</v>
      </c>
    </row>
    <row r="17" spans="1:6" ht="16">
      <c r="A17" s="2">
        <v>16</v>
      </c>
      <c r="B17" s="2" t="s">
        <v>115</v>
      </c>
      <c r="C17" s="2" t="str">
        <f>VLOOKUP(B17,保障组织结构树!C:E,3,0)</f>
        <v>z17</v>
      </c>
      <c r="D17" s="3" t="s">
        <v>239</v>
      </c>
      <c r="E17" s="3" t="s">
        <v>639</v>
      </c>
      <c r="F17" s="2">
        <v>8</v>
      </c>
    </row>
    <row r="18" spans="1:6" ht="16">
      <c r="A18" s="2">
        <v>17</v>
      </c>
      <c r="B18" s="2" t="s">
        <v>116</v>
      </c>
      <c r="C18" s="2" t="str">
        <f>VLOOKUP(B18,保障组织结构树!C:E,3,0)</f>
        <v>z18</v>
      </c>
      <c r="D18" s="3" t="s">
        <v>237</v>
      </c>
      <c r="E18" s="3" t="s">
        <v>638</v>
      </c>
      <c r="F18" s="2">
        <v>8</v>
      </c>
    </row>
    <row r="19" spans="1:6" ht="16">
      <c r="A19" s="2">
        <v>18</v>
      </c>
      <c r="B19" s="2" t="s">
        <v>116</v>
      </c>
      <c r="C19" s="2" t="str">
        <f>VLOOKUP(B19,保障组织结构树!C:E,3,0)</f>
        <v>z18</v>
      </c>
      <c r="D19" s="3" t="s">
        <v>237</v>
      </c>
      <c r="E19" s="3" t="s">
        <v>639</v>
      </c>
      <c r="F19" s="2">
        <v>8</v>
      </c>
    </row>
    <row r="20" spans="1:6" ht="16">
      <c r="A20" s="2">
        <v>19</v>
      </c>
      <c r="B20" s="2" t="s">
        <v>116</v>
      </c>
      <c r="C20" s="2" t="str">
        <f>VLOOKUP(B20,保障组织结构树!C:E,3,0)</f>
        <v>z18</v>
      </c>
      <c r="D20" s="3" t="s">
        <v>236</v>
      </c>
      <c r="E20" s="3" t="s">
        <v>638</v>
      </c>
      <c r="F20" s="2">
        <v>8</v>
      </c>
    </row>
    <row r="21" spans="1:6" ht="16">
      <c r="A21" s="2">
        <v>20</v>
      </c>
      <c r="B21" s="2" t="s">
        <v>116</v>
      </c>
      <c r="C21" s="2" t="str">
        <f>VLOOKUP(B21,保障组织结构树!C:E,3,0)</f>
        <v>z18</v>
      </c>
      <c r="D21" s="3" t="s">
        <v>236</v>
      </c>
      <c r="E21" s="3" t="s">
        <v>639</v>
      </c>
      <c r="F21" s="2">
        <v>8</v>
      </c>
    </row>
    <row r="22" spans="1:6" ht="16">
      <c r="A22" s="2">
        <v>21</v>
      </c>
      <c r="B22" s="2" t="s">
        <v>116</v>
      </c>
      <c r="C22" s="2" t="str">
        <f>VLOOKUP(B22,保障组织结构树!C:E,3,0)</f>
        <v>z18</v>
      </c>
      <c r="D22" s="2" t="s">
        <v>235</v>
      </c>
      <c r="E22" s="3" t="s">
        <v>638</v>
      </c>
      <c r="F22" s="2">
        <v>8</v>
      </c>
    </row>
    <row r="23" spans="1:6" ht="16">
      <c r="A23" s="2">
        <v>22</v>
      </c>
      <c r="B23" s="2" t="s">
        <v>116</v>
      </c>
      <c r="C23" s="2" t="str">
        <f>VLOOKUP(B23,保障组织结构树!C:E,3,0)</f>
        <v>z18</v>
      </c>
      <c r="D23" s="2" t="s">
        <v>235</v>
      </c>
      <c r="E23" s="3" t="s">
        <v>639</v>
      </c>
      <c r="F23" s="2">
        <v>8</v>
      </c>
    </row>
    <row r="24" spans="1:6" ht="16">
      <c r="A24" s="2">
        <v>23</v>
      </c>
      <c r="B24" s="2" t="s">
        <v>116</v>
      </c>
      <c r="C24" s="2" t="str">
        <f>VLOOKUP(B24,保障组织结构树!C:E,3,0)</f>
        <v>z18</v>
      </c>
      <c r="D24" s="3" t="s">
        <v>806</v>
      </c>
      <c r="E24" s="3" t="s">
        <v>638</v>
      </c>
      <c r="F24" s="2">
        <v>8</v>
      </c>
    </row>
    <row r="25" spans="1:6" ht="16">
      <c r="A25" s="2">
        <v>24</v>
      </c>
      <c r="B25" s="2" t="s">
        <v>116</v>
      </c>
      <c r="C25" s="2" t="str">
        <f>VLOOKUP(B25,保障组织结构树!C:E,3,0)</f>
        <v>z18</v>
      </c>
      <c r="D25" s="3" t="s">
        <v>806</v>
      </c>
      <c r="E25" s="3" t="s">
        <v>639</v>
      </c>
      <c r="F25" s="2">
        <v>8</v>
      </c>
    </row>
    <row r="26" spans="1:6" ht="16">
      <c r="A26" s="2">
        <v>26</v>
      </c>
      <c r="B26" s="2" t="s">
        <v>118</v>
      </c>
      <c r="C26" s="2" t="str">
        <f>VLOOKUP(B26,保障组织结构树!C:E,3,0)</f>
        <v>z20</v>
      </c>
      <c r="D26" s="3" t="s">
        <v>980</v>
      </c>
      <c r="E26" s="2"/>
      <c r="F26" s="21">
        <v>5</v>
      </c>
    </row>
    <row r="27" spans="1:6" ht="16">
      <c r="A27" s="2">
        <v>27</v>
      </c>
      <c r="B27" s="2" t="s">
        <v>122</v>
      </c>
      <c r="C27" s="2" t="str">
        <f>VLOOKUP(B27,保障组织结构树!C:E,3,0)</f>
        <v>z24</v>
      </c>
      <c r="D27" s="3" t="s">
        <v>296</v>
      </c>
      <c r="E27" s="2"/>
      <c r="F27" s="21">
        <v>5</v>
      </c>
    </row>
    <row r="28" spans="1:6" ht="16">
      <c r="A28" s="2">
        <v>28</v>
      </c>
      <c r="B28" s="2" t="s">
        <v>122</v>
      </c>
      <c r="C28" s="2" t="str">
        <f>VLOOKUP(B28,保障组织结构树!C:E,3,0)</f>
        <v>z24</v>
      </c>
      <c r="D28" s="3" t="s">
        <v>103</v>
      </c>
      <c r="E28" s="2"/>
      <c r="F28" s="21">
        <v>5</v>
      </c>
    </row>
    <row r="29" spans="1:6" ht="16">
      <c r="A29" s="2">
        <v>29</v>
      </c>
      <c r="B29" s="2" t="s">
        <v>122</v>
      </c>
      <c r="C29" s="2" t="str">
        <f>VLOOKUP(B29,保障组织结构树!C:E,3,0)</f>
        <v>z24</v>
      </c>
      <c r="D29" t="s">
        <v>797</v>
      </c>
      <c r="E29" s="2"/>
      <c r="F29" s="21">
        <v>5</v>
      </c>
    </row>
    <row r="30" spans="1:6" ht="16">
      <c r="A30" s="2">
        <v>30</v>
      </c>
      <c r="B30" s="14" t="s">
        <v>122</v>
      </c>
      <c r="C30" s="2" t="str">
        <f>VLOOKUP(B30,保障组织结构树!C:E,3,0)</f>
        <v>z24</v>
      </c>
      <c r="D30" s="9" t="s">
        <v>978</v>
      </c>
      <c r="F30" s="21">
        <v>5</v>
      </c>
    </row>
    <row r="31" spans="1:6" ht="32">
      <c r="A31" s="2">
        <v>31</v>
      </c>
      <c r="B31" s="14" t="s">
        <v>122</v>
      </c>
      <c r="C31" s="2" t="str">
        <f>VLOOKUP(B31,保障组织结构树!C:E,3,0)</f>
        <v>z24</v>
      </c>
      <c r="D31" s="16" t="s">
        <v>979</v>
      </c>
      <c r="F31" s="21">
        <v>5</v>
      </c>
    </row>
    <row r="32" spans="1:6" ht="16">
      <c r="A32" s="2">
        <v>32</v>
      </c>
      <c r="B32" s="14" t="s">
        <v>122</v>
      </c>
      <c r="C32" s="2" t="str">
        <f>VLOOKUP(B32,保障组织结构树!C:E,3,0)</f>
        <v>z24</v>
      </c>
      <c r="D32" s="9" t="s">
        <v>102</v>
      </c>
      <c r="F32" s="21">
        <v>5</v>
      </c>
    </row>
    <row r="33" spans="1:6" ht="16">
      <c r="A33" s="2">
        <v>33</v>
      </c>
      <c r="B33" s="14" t="s">
        <v>122</v>
      </c>
      <c r="C33" s="2" t="str">
        <f>VLOOKUP(B33,保障组织结构树!C:E,3,0)</f>
        <v>z24</v>
      </c>
      <c r="D33" s="9" t="s">
        <v>104</v>
      </c>
      <c r="F33" s="21">
        <v>5</v>
      </c>
    </row>
    <row r="34" spans="1:6" ht="16">
      <c r="A34" s="2">
        <v>34</v>
      </c>
      <c r="B34" s="23" t="s">
        <v>131</v>
      </c>
      <c r="C34" s="2" t="str">
        <f>VLOOKUP(B34,保障组织结构树!C:E,3,0)</f>
        <v>z33</v>
      </c>
      <c r="D34" s="3" t="s">
        <v>297</v>
      </c>
      <c r="E34" s="2"/>
      <c r="F34" s="21">
        <v>5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22"/>
  <sheetViews>
    <sheetView zoomScale="171" workbookViewId="0">
      <selection activeCell="D115" sqref="D115"/>
    </sheetView>
  </sheetViews>
  <sheetFormatPr baseColWidth="10" defaultColWidth="9.5" defaultRowHeight="15"/>
  <cols>
    <col min="1" max="1" width="10" customWidth="1"/>
    <col min="2" max="2" width="28.33203125" customWidth="1"/>
    <col min="3" max="3" width="10" customWidth="1"/>
    <col min="4" max="4" width="27.6640625" customWidth="1"/>
    <col min="5" max="7" width="10" customWidth="1"/>
    <col min="8" max="9" width="16" customWidth="1"/>
  </cols>
  <sheetData>
    <row r="1" spans="1:9" ht="16">
      <c r="A1" s="31" t="s">
        <v>0</v>
      </c>
      <c r="B1" s="31" t="s">
        <v>240</v>
      </c>
      <c r="C1" s="31" t="s">
        <v>29</v>
      </c>
      <c r="D1" s="31" t="s">
        <v>967</v>
      </c>
      <c r="E1" s="31" t="s">
        <v>241</v>
      </c>
      <c r="F1" s="31" t="s">
        <v>242</v>
      </c>
      <c r="G1" s="31" t="s">
        <v>243</v>
      </c>
      <c r="H1" s="31" t="s">
        <v>232</v>
      </c>
      <c r="I1" s="31" t="s">
        <v>620</v>
      </c>
    </row>
    <row r="2" spans="1:9" ht="16">
      <c r="A2" s="32">
        <v>1</v>
      </c>
      <c r="B2" s="42" t="s">
        <v>812</v>
      </c>
      <c r="C2" s="33" t="s">
        <v>813</v>
      </c>
      <c r="D2" s="42" t="str">
        <f>B2&amp;"-"&amp;C2</f>
        <v>登机梯-G/DJFT-1</v>
      </c>
      <c r="E2" s="33" t="s">
        <v>340</v>
      </c>
      <c r="F2" s="34">
        <v>1</v>
      </c>
      <c r="G2" s="32" t="s">
        <v>244</v>
      </c>
      <c r="H2" s="32" t="s">
        <v>117</v>
      </c>
      <c r="I2" s="35" t="str">
        <f>VLOOKUP(H2,保障组织结构树!C:E,3,0)</f>
        <v>z19</v>
      </c>
    </row>
    <row r="3" spans="1:9" ht="16">
      <c r="A3" s="32">
        <v>2</v>
      </c>
      <c r="B3" s="42" t="s">
        <v>814</v>
      </c>
      <c r="C3" s="33" t="s">
        <v>815</v>
      </c>
      <c r="D3" s="42" t="str">
        <f>B3&amp;IF(C3&lt;&gt;"","-"&amp;C3,"")</f>
        <v>机下工作梯-G/JXFT-1</v>
      </c>
      <c r="E3" s="33" t="s">
        <v>340</v>
      </c>
      <c r="F3" s="34">
        <v>1</v>
      </c>
      <c r="G3" s="32" t="s">
        <v>244</v>
      </c>
      <c r="H3" s="32" t="s">
        <v>117</v>
      </c>
      <c r="I3" s="35" t="str">
        <f>VLOOKUP(H3,保障组织结构树!C:E,3,0)</f>
        <v>z19</v>
      </c>
    </row>
    <row r="4" spans="1:9" ht="16">
      <c r="A4" s="32">
        <v>3</v>
      </c>
      <c r="B4" s="42" t="s">
        <v>816</v>
      </c>
      <c r="C4" s="33" t="s">
        <v>817</v>
      </c>
      <c r="D4" s="42" t="str">
        <f t="shared" ref="D4:D67" si="0">B4&amp;IF(C4&lt;&gt;"","-"&amp;C4,"")</f>
        <v>前起落架舱工作梯-QQCT-1B</v>
      </c>
      <c r="E4" s="33" t="s">
        <v>340</v>
      </c>
      <c r="F4" s="34">
        <v>1</v>
      </c>
      <c r="G4" s="32" t="s">
        <v>244</v>
      </c>
      <c r="H4" s="32" t="s">
        <v>117</v>
      </c>
      <c r="I4" s="35" t="str">
        <f>VLOOKUP(H4,保障组织结构树!C:E,3,0)</f>
        <v>z19</v>
      </c>
    </row>
    <row r="5" spans="1:9" ht="16">
      <c r="A5" s="32">
        <v>4</v>
      </c>
      <c r="B5" s="42" t="s">
        <v>818</v>
      </c>
      <c r="C5" s="33" t="s">
        <v>819</v>
      </c>
      <c r="D5" s="42" t="str">
        <f t="shared" si="0"/>
        <v>发动机拆装托车-F/FAC-3</v>
      </c>
      <c r="E5" s="33" t="s">
        <v>340</v>
      </c>
      <c r="F5" s="34">
        <v>1</v>
      </c>
      <c r="G5" s="32" t="s">
        <v>245</v>
      </c>
      <c r="H5" s="32" t="s">
        <v>117</v>
      </c>
      <c r="I5" s="35" t="str">
        <f>VLOOKUP(H5,保障组织结构树!C:E,3,0)</f>
        <v>z19</v>
      </c>
    </row>
    <row r="6" spans="1:9" ht="32">
      <c r="A6" s="32">
        <v>5</v>
      </c>
      <c r="B6" s="42" t="s">
        <v>820</v>
      </c>
      <c r="C6" s="33" t="s">
        <v>821</v>
      </c>
      <c r="D6" s="42" t="str">
        <f t="shared" si="0"/>
        <v>发电机传动装置拆装设备-J15.9151.A.000.000</v>
      </c>
      <c r="E6" s="33" t="s">
        <v>340</v>
      </c>
      <c r="F6" s="34">
        <v>1</v>
      </c>
      <c r="G6" s="32" t="s">
        <v>245</v>
      </c>
      <c r="H6" s="32" t="s">
        <v>117</v>
      </c>
      <c r="I6" s="35" t="str">
        <f>VLOOKUP(H6,保障组织结构树!C:E,3,0)</f>
        <v>z19</v>
      </c>
    </row>
    <row r="7" spans="1:9" ht="32">
      <c r="A7" s="32">
        <v>6</v>
      </c>
      <c r="B7" s="42" t="s">
        <v>822</v>
      </c>
      <c r="C7" s="33" t="s">
        <v>823</v>
      </c>
      <c r="D7" s="42" t="str">
        <f t="shared" si="0"/>
        <v>外置附件机匣放油软管-J15.9176.A.000.000</v>
      </c>
      <c r="E7" s="33" t="s">
        <v>340</v>
      </c>
      <c r="F7" s="34">
        <v>1</v>
      </c>
      <c r="G7" s="32" t="s">
        <v>245</v>
      </c>
      <c r="H7" s="32" t="s">
        <v>117</v>
      </c>
      <c r="I7" s="35" t="str">
        <f>VLOOKUP(H7,保障组织结构树!C:E,3,0)</f>
        <v>z19</v>
      </c>
    </row>
    <row r="8" spans="1:9" ht="32">
      <c r="A8" s="32">
        <v>7</v>
      </c>
      <c r="B8" s="42" t="s">
        <v>824</v>
      </c>
      <c r="C8" s="33" t="s">
        <v>825</v>
      </c>
      <c r="D8" s="42" t="str">
        <f t="shared" si="0"/>
        <v>发动机燃油和滑油排放软管-J15.9188.A.000.000</v>
      </c>
      <c r="E8" s="33" t="s">
        <v>340</v>
      </c>
      <c r="F8" s="34">
        <v>1</v>
      </c>
      <c r="G8" s="32" t="s">
        <v>245</v>
      </c>
      <c r="H8" s="32" t="s">
        <v>117</v>
      </c>
      <c r="I8" s="35" t="str">
        <f>VLOOKUP(H8,保障组织结构树!C:E,3,0)</f>
        <v>z19</v>
      </c>
    </row>
    <row r="9" spans="1:9" ht="16">
      <c r="A9" s="32">
        <v>8</v>
      </c>
      <c r="B9" s="42" t="s">
        <v>826</v>
      </c>
      <c r="C9" s="33" t="s">
        <v>827</v>
      </c>
      <c r="D9" s="42" t="str">
        <f t="shared" si="0"/>
        <v>飞机机体蒙布-J/JTMF-2</v>
      </c>
      <c r="E9" s="33" t="s">
        <v>340</v>
      </c>
      <c r="F9" s="34">
        <v>1</v>
      </c>
      <c r="G9" s="32" t="s">
        <v>244</v>
      </c>
      <c r="H9" s="32" t="s">
        <v>117</v>
      </c>
      <c r="I9" s="35" t="str">
        <f>VLOOKUP(H9,保障组织结构树!C:E,3,0)</f>
        <v>z19</v>
      </c>
    </row>
    <row r="10" spans="1:9" ht="16">
      <c r="A10" s="32">
        <v>9</v>
      </c>
      <c r="B10" s="42" t="s">
        <v>828</v>
      </c>
      <c r="C10" s="33" t="s">
        <v>829</v>
      </c>
      <c r="D10" s="42" t="str">
        <f t="shared" si="0"/>
        <v>进气道堵盖-J/JDHF-1</v>
      </c>
      <c r="E10" s="33" t="s">
        <v>340</v>
      </c>
      <c r="F10" s="34">
        <v>1</v>
      </c>
      <c r="G10" s="32" t="s">
        <v>245</v>
      </c>
      <c r="H10" s="32" t="s">
        <v>117</v>
      </c>
      <c r="I10" s="35" t="str">
        <f>VLOOKUP(H10,保障组织结构树!C:E,3,0)</f>
        <v>z19</v>
      </c>
    </row>
    <row r="11" spans="1:9" ht="16">
      <c r="A11" s="32">
        <v>10</v>
      </c>
      <c r="B11" s="42" t="s">
        <v>830</v>
      </c>
      <c r="C11" s="33" t="s">
        <v>831</v>
      </c>
      <c r="D11" s="42" t="str">
        <f t="shared" si="0"/>
        <v>组合式充气检压装置-J/ZHTZ-1</v>
      </c>
      <c r="E11" s="33" t="s">
        <v>340</v>
      </c>
      <c r="F11" s="34">
        <v>1</v>
      </c>
      <c r="G11" s="32" t="s">
        <v>244</v>
      </c>
      <c r="H11" s="32" t="s">
        <v>117</v>
      </c>
      <c r="I11" s="35" t="str">
        <f>VLOOKUP(H11,保障组织结构树!C:E,3,0)</f>
        <v>z19</v>
      </c>
    </row>
    <row r="12" spans="1:9" ht="16">
      <c r="A12" s="32">
        <v>11</v>
      </c>
      <c r="B12" s="42" t="s">
        <v>832</v>
      </c>
      <c r="C12" s="33" t="s">
        <v>833</v>
      </c>
      <c r="D12" s="42" t="str">
        <f t="shared" si="0"/>
        <v>飞机主千斤顶-J/ZZD-5</v>
      </c>
      <c r="E12" s="33" t="s">
        <v>340</v>
      </c>
      <c r="F12" s="34">
        <v>1</v>
      </c>
      <c r="G12" s="32" t="s">
        <v>245</v>
      </c>
      <c r="H12" s="32" t="s">
        <v>117</v>
      </c>
      <c r="I12" s="35" t="str">
        <f>VLOOKUP(H12,保障组织结构树!C:E,3,0)</f>
        <v>z19</v>
      </c>
    </row>
    <row r="13" spans="1:9" ht="16">
      <c r="A13" s="32">
        <v>12</v>
      </c>
      <c r="B13" s="42" t="s">
        <v>834</v>
      </c>
      <c r="C13" s="33" t="s">
        <v>835</v>
      </c>
      <c r="D13" s="42" t="str">
        <f t="shared" si="0"/>
        <v>飞机前千斤顶-J/QZD-5A</v>
      </c>
      <c r="E13" s="33" t="s">
        <v>340</v>
      </c>
      <c r="F13" s="34">
        <v>1</v>
      </c>
      <c r="G13" s="32" t="s">
        <v>244</v>
      </c>
      <c r="H13" s="32" t="s">
        <v>117</v>
      </c>
      <c r="I13" s="35" t="str">
        <f>VLOOKUP(H13,保障组织结构树!C:E,3,0)</f>
        <v>z19</v>
      </c>
    </row>
    <row r="14" spans="1:9" ht="16">
      <c r="A14" s="32">
        <v>13</v>
      </c>
      <c r="B14" s="42" t="s">
        <v>836</v>
      </c>
      <c r="C14" s="33" t="s">
        <v>837</v>
      </c>
      <c r="D14" s="42" t="str">
        <f t="shared" si="0"/>
        <v>主机轮千斤顶-ZQJD11-1A</v>
      </c>
      <c r="E14" s="33" t="s">
        <v>340</v>
      </c>
      <c r="F14" s="34">
        <v>1</v>
      </c>
      <c r="G14" s="32" t="s">
        <v>245</v>
      </c>
      <c r="H14" s="32" t="s">
        <v>117</v>
      </c>
      <c r="I14" s="35" t="str">
        <f>VLOOKUP(H14,保障组织结构树!C:E,3,0)</f>
        <v>z19</v>
      </c>
    </row>
    <row r="15" spans="1:9" ht="16">
      <c r="A15" s="32">
        <v>14</v>
      </c>
      <c r="B15" s="42" t="s">
        <v>838</v>
      </c>
      <c r="C15" s="33" t="s">
        <v>839</v>
      </c>
      <c r="D15" s="42" t="str">
        <f t="shared" si="0"/>
        <v>更换前起落架机轮设备-GQJS-1</v>
      </c>
      <c r="E15" s="33" t="s">
        <v>340</v>
      </c>
      <c r="F15" s="34">
        <v>1</v>
      </c>
      <c r="G15" s="32" t="s">
        <v>244</v>
      </c>
      <c r="H15" s="32" t="s">
        <v>117</v>
      </c>
      <c r="I15" s="35" t="str">
        <f>VLOOKUP(H15,保障组织结构树!C:E,3,0)</f>
        <v>z19</v>
      </c>
    </row>
    <row r="16" spans="1:9" ht="16">
      <c r="A16" s="32">
        <v>15</v>
      </c>
      <c r="B16" s="42" t="s">
        <v>840</v>
      </c>
      <c r="C16" s="33" t="s">
        <v>841</v>
      </c>
      <c r="D16" s="42" t="str">
        <f t="shared" si="0"/>
        <v>缓冲支柱注油设备-HZZS-1A</v>
      </c>
      <c r="E16" s="33" t="s">
        <v>340</v>
      </c>
      <c r="F16" s="34">
        <v>1</v>
      </c>
      <c r="G16" s="32" t="s">
        <v>245</v>
      </c>
      <c r="H16" s="32" t="s">
        <v>117</v>
      </c>
      <c r="I16" s="35" t="str">
        <f>VLOOKUP(H16,保障组织结构树!C:E,3,0)</f>
        <v>z19</v>
      </c>
    </row>
    <row r="17" spans="1:9" ht="16">
      <c r="A17" s="32">
        <v>16</v>
      </c>
      <c r="B17" s="42" t="s">
        <v>842</v>
      </c>
      <c r="C17" s="33" t="s">
        <v>843</v>
      </c>
      <c r="D17" s="42" t="str">
        <f t="shared" si="0"/>
        <v>滑油注油设备-HYZS-1A</v>
      </c>
      <c r="E17" s="33" t="s">
        <v>340</v>
      </c>
      <c r="F17" s="34">
        <v>1</v>
      </c>
      <c r="G17" s="32" t="s">
        <v>244</v>
      </c>
      <c r="H17" s="32" t="s">
        <v>117</v>
      </c>
      <c r="I17" s="35" t="str">
        <f>VLOOKUP(H17,保障组织结构树!C:E,3,0)</f>
        <v>z19</v>
      </c>
    </row>
    <row r="18" spans="1:9" ht="32">
      <c r="A18" s="32">
        <v>17</v>
      </c>
      <c r="B18" s="42" t="s">
        <v>844</v>
      </c>
      <c r="C18" s="33" t="s">
        <v>845</v>
      </c>
      <c r="D18" s="42" t="str">
        <f t="shared" si="0"/>
        <v>起落架轮载及收放信号模拟器-B/QMQ-2A</v>
      </c>
      <c r="E18" s="33" t="s">
        <v>340</v>
      </c>
      <c r="F18" s="34">
        <v>1</v>
      </c>
      <c r="G18" s="32" t="s">
        <v>245</v>
      </c>
      <c r="H18" s="32" t="s">
        <v>117</v>
      </c>
      <c r="I18" s="35" t="str">
        <f>VLOOKUP(H18,保障组织结构树!C:E,3,0)</f>
        <v>z19</v>
      </c>
    </row>
    <row r="19" spans="1:9" ht="16">
      <c r="A19" s="32">
        <v>18</v>
      </c>
      <c r="B19" s="42" t="s">
        <v>846</v>
      </c>
      <c r="C19" s="33" t="s">
        <v>847</v>
      </c>
      <c r="D19" s="42" t="str">
        <f t="shared" si="0"/>
        <v>滑油压力计-FZD.01.YLJ</v>
      </c>
      <c r="E19" s="33" t="s">
        <v>340</v>
      </c>
      <c r="F19" s="34">
        <v>1</v>
      </c>
      <c r="G19" s="32" t="s">
        <v>244</v>
      </c>
      <c r="H19" s="32" t="s">
        <v>117</v>
      </c>
      <c r="I19" s="35" t="str">
        <f>VLOOKUP(H19,保障组织结构树!C:E,3,0)</f>
        <v>z19</v>
      </c>
    </row>
    <row r="20" spans="1:9" ht="16">
      <c r="A20" s="32">
        <v>19</v>
      </c>
      <c r="B20" s="42" t="s">
        <v>848</v>
      </c>
      <c r="C20" s="33" t="s">
        <v>849</v>
      </c>
      <c r="D20" s="42" t="str">
        <f t="shared" si="0"/>
        <v>外置机匣振动检查仪-WZY-1</v>
      </c>
      <c r="E20" s="33" t="s">
        <v>340</v>
      </c>
      <c r="F20" s="34">
        <v>1</v>
      </c>
      <c r="G20" s="32" t="s">
        <v>245</v>
      </c>
      <c r="H20" s="32" t="s">
        <v>117</v>
      </c>
      <c r="I20" s="35" t="str">
        <f>VLOOKUP(H20,保障组织结构树!C:E,3,0)</f>
        <v>z19</v>
      </c>
    </row>
    <row r="21" spans="1:9" ht="16">
      <c r="A21" s="32">
        <v>20</v>
      </c>
      <c r="B21" s="42" t="s">
        <v>850</v>
      </c>
      <c r="C21" s="33" t="s">
        <v>851</v>
      </c>
      <c r="D21" s="42" t="str">
        <f t="shared" si="0"/>
        <v>组合式气密性检查装置-J/QMSZ-1</v>
      </c>
      <c r="E21" s="33" t="s">
        <v>340</v>
      </c>
      <c r="F21" s="34">
        <v>1</v>
      </c>
      <c r="G21" s="32" t="s">
        <v>244</v>
      </c>
      <c r="H21" s="32" t="s">
        <v>117</v>
      </c>
      <c r="I21" s="35" t="str">
        <f>VLOOKUP(H21,保障组织结构树!C:E,3,0)</f>
        <v>z19</v>
      </c>
    </row>
    <row r="22" spans="1:9" ht="16">
      <c r="A22" s="32">
        <v>21</v>
      </c>
      <c r="B22" s="42" t="s">
        <v>852</v>
      </c>
      <c r="C22" s="33" t="s">
        <v>853</v>
      </c>
      <c r="D22" s="42" t="str">
        <f t="shared" si="0"/>
        <v>轴承噪音检测仪-ВАДИМ</v>
      </c>
      <c r="E22" s="33" t="s">
        <v>340</v>
      </c>
      <c r="F22" s="34">
        <v>1</v>
      </c>
      <c r="G22" s="32" t="s">
        <v>245</v>
      </c>
      <c r="H22" s="32" t="s">
        <v>117</v>
      </c>
      <c r="I22" s="35" t="str">
        <f>VLOOKUP(H22,保障组织结构树!C:E,3,0)</f>
        <v>z19</v>
      </c>
    </row>
    <row r="23" spans="1:9" ht="32">
      <c r="A23" s="32">
        <v>22</v>
      </c>
      <c r="B23" s="42" t="s">
        <v>854</v>
      </c>
      <c r="C23" s="33" t="s">
        <v>855</v>
      </c>
      <c r="D23" s="42" t="str">
        <f t="shared" si="0"/>
        <v>九级篦齿盘均压孔涡流探伤设备-BWTS-1</v>
      </c>
      <c r="E23" s="33" t="s">
        <v>340</v>
      </c>
      <c r="F23" s="34">
        <v>1</v>
      </c>
      <c r="G23" s="32" t="s">
        <v>244</v>
      </c>
      <c r="H23" s="32" t="s">
        <v>117</v>
      </c>
      <c r="I23" s="35" t="str">
        <f>VLOOKUP(H23,保障组织结构树!C:E,3,0)</f>
        <v>z19</v>
      </c>
    </row>
    <row r="24" spans="1:9" ht="19" customHeight="1">
      <c r="A24" s="32">
        <v>23</v>
      </c>
      <c r="B24" s="42" t="s">
        <v>856</v>
      </c>
      <c r="C24" s="33" t="s">
        <v>857</v>
      </c>
      <c r="D24" s="42" t="str">
        <f t="shared" si="0"/>
        <v>轮挡-Q/J11-0015</v>
      </c>
      <c r="E24" s="33" t="s">
        <v>340</v>
      </c>
      <c r="F24" s="34">
        <v>1</v>
      </c>
      <c r="G24" s="32" t="s">
        <v>245</v>
      </c>
      <c r="H24" s="32" t="s">
        <v>117</v>
      </c>
      <c r="I24" s="35" t="str">
        <f>VLOOKUP(H24,保障组织结构树!C:E,3,0)</f>
        <v>z19</v>
      </c>
    </row>
    <row r="25" spans="1:9" ht="32">
      <c r="A25" s="32">
        <v>24</v>
      </c>
      <c r="B25" s="42" t="s">
        <v>858</v>
      </c>
      <c r="C25" s="33" t="s">
        <v>859</v>
      </c>
      <c r="D25" s="42" t="str">
        <f t="shared" si="0"/>
        <v>飞机/发动机综合测试设备-J/JFSS-1/1</v>
      </c>
      <c r="E25" s="33" t="s">
        <v>340</v>
      </c>
      <c r="F25" s="34">
        <v>1</v>
      </c>
      <c r="G25" s="32" t="s">
        <v>244</v>
      </c>
      <c r="H25" s="32" t="s">
        <v>117</v>
      </c>
      <c r="I25" s="35" t="str">
        <f>VLOOKUP(H25,保障组织结构树!C:E,3,0)</f>
        <v>z19</v>
      </c>
    </row>
    <row r="26" spans="1:9" ht="16">
      <c r="A26" s="32">
        <v>25</v>
      </c>
      <c r="B26" s="42" t="s">
        <v>860</v>
      </c>
      <c r="C26" s="33" t="s">
        <v>861</v>
      </c>
      <c r="D26" s="42" t="str">
        <f t="shared" si="0"/>
        <v>机上工作安全带-J/GZHZ-1</v>
      </c>
      <c r="E26" s="33" t="s">
        <v>340</v>
      </c>
      <c r="F26" s="34">
        <v>1</v>
      </c>
      <c r="G26" s="32" t="s">
        <v>245</v>
      </c>
      <c r="H26" s="32" t="s">
        <v>117</v>
      </c>
      <c r="I26" s="35" t="str">
        <f>VLOOKUP(H26,保障组织结构树!C:E,3,0)</f>
        <v>z19</v>
      </c>
    </row>
    <row r="27" spans="1:9" ht="32">
      <c r="A27" s="32">
        <v>26</v>
      </c>
      <c r="B27" s="42" t="s">
        <v>862</v>
      </c>
      <c r="C27" s="33" t="s">
        <v>863</v>
      </c>
      <c r="D27" s="42" t="str">
        <f t="shared" si="0"/>
        <v>飞机液压刹车系统检查装置-Y/YJSZ-2</v>
      </c>
      <c r="E27" s="33" t="s">
        <v>340</v>
      </c>
      <c r="F27" s="34">
        <v>1</v>
      </c>
      <c r="G27" s="32" t="s">
        <v>245</v>
      </c>
      <c r="H27" s="32" t="s">
        <v>117</v>
      </c>
      <c r="I27" s="35" t="str">
        <f>VLOOKUP(H27,保障组织结构树!C:E,3,0)</f>
        <v>z19</v>
      </c>
    </row>
    <row r="28" spans="1:9" ht="16">
      <c r="A28" s="32">
        <v>27</v>
      </c>
      <c r="B28" s="42" t="s">
        <v>864</v>
      </c>
      <c r="C28" s="33" t="s">
        <v>865</v>
      </c>
      <c r="D28" s="42" t="str">
        <f t="shared" si="0"/>
        <v>机内外通话器-THQ-1B</v>
      </c>
      <c r="E28" s="33" t="s">
        <v>340</v>
      </c>
      <c r="F28" s="34">
        <v>1</v>
      </c>
      <c r="G28" s="32" t="s">
        <v>245</v>
      </c>
      <c r="H28" s="32" t="s">
        <v>117</v>
      </c>
      <c r="I28" s="35" t="str">
        <f>VLOOKUP(H28,保障组织结构树!C:E,3,0)</f>
        <v>z19</v>
      </c>
    </row>
    <row r="29" spans="1:9" ht="16">
      <c r="A29" s="32">
        <v>28</v>
      </c>
      <c r="B29" s="42" t="s">
        <v>866</v>
      </c>
      <c r="C29" s="33" t="s">
        <v>867</v>
      </c>
      <c r="D29" s="42" t="str">
        <f t="shared" si="0"/>
        <v>减速板支撑杆-F/JSZG-1</v>
      </c>
      <c r="E29" s="33" t="s">
        <v>340</v>
      </c>
      <c r="F29" s="34">
        <v>1</v>
      </c>
      <c r="G29" s="32" t="s">
        <v>245</v>
      </c>
      <c r="H29" s="32" t="s">
        <v>117</v>
      </c>
      <c r="I29" s="35" t="str">
        <f>VLOOKUP(H29,保障组织结构树!C:E,3,0)</f>
        <v>z19</v>
      </c>
    </row>
    <row r="30" spans="1:9" ht="32">
      <c r="A30" s="32">
        <v>29</v>
      </c>
      <c r="B30" s="42" t="s">
        <v>868</v>
      </c>
      <c r="C30" s="33" t="s">
        <v>869</v>
      </c>
      <c r="D30" s="42" t="str">
        <f t="shared" si="0"/>
        <v>座舱盖液压系统注油软管-K/ZGZY-1</v>
      </c>
      <c r="E30" s="33" t="s">
        <v>340</v>
      </c>
      <c r="F30" s="34">
        <v>1</v>
      </c>
      <c r="G30" s="32" t="s">
        <v>245</v>
      </c>
      <c r="H30" s="32" t="s">
        <v>117</v>
      </c>
      <c r="I30" s="35" t="str">
        <f>VLOOKUP(H30,保障组织结构树!C:E,3,0)</f>
        <v>z19</v>
      </c>
    </row>
    <row r="31" spans="1:9" ht="16">
      <c r="A31" s="32">
        <v>30</v>
      </c>
      <c r="B31" s="42" t="s">
        <v>870</v>
      </c>
      <c r="C31" s="33" t="s">
        <v>871</v>
      </c>
      <c r="D31" s="42" t="str">
        <f t="shared" si="0"/>
        <v>飞机轮胎压力检查装置-Q/LYSZ-1</v>
      </c>
      <c r="E31" s="33" t="s">
        <v>340</v>
      </c>
      <c r="F31" s="34">
        <v>1</v>
      </c>
      <c r="G31" s="32" t="s">
        <v>245</v>
      </c>
      <c r="H31" s="32" t="s">
        <v>117</v>
      </c>
      <c r="I31" s="35" t="str">
        <f>VLOOKUP(H31,保障组织结构树!C:E,3,0)</f>
        <v>z19</v>
      </c>
    </row>
    <row r="32" spans="1:9" ht="16">
      <c r="A32" s="32">
        <v>31</v>
      </c>
      <c r="B32" s="42" t="s">
        <v>872</v>
      </c>
      <c r="C32" s="33" t="s">
        <v>873</v>
      </c>
      <c r="D32" s="42" t="str">
        <f t="shared" si="0"/>
        <v>飞机系留索-J/FJXZ-1</v>
      </c>
      <c r="E32" s="33" t="s">
        <v>340</v>
      </c>
      <c r="F32" s="34">
        <v>1</v>
      </c>
      <c r="G32" s="32" t="s">
        <v>245</v>
      </c>
      <c r="H32" s="32" t="s">
        <v>117</v>
      </c>
      <c r="I32" s="35" t="str">
        <f>VLOOKUP(H32,保障组织结构树!C:E,3,0)</f>
        <v>z19</v>
      </c>
    </row>
    <row r="33" spans="1:9" ht="32">
      <c r="A33" s="32">
        <v>32</v>
      </c>
      <c r="B33" s="42" t="s">
        <v>874</v>
      </c>
      <c r="C33" s="33" t="s">
        <v>875</v>
      </c>
      <c r="D33" s="42" t="str">
        <f t="shared" si="0"/>
        <v>钢索张力计-T5-2002-101-00</v>
      </c>
      <c r="E33" s="33" t="s">
        <v>340</v>
      </c>
      <c r="F33" s="34">
        <v>1</v>
      </c>
      <c r="G33" s="32" t="s">
        <v>245</v>
      </c>
      <c r="H33" s="32" t="s">
        <v>117</v>
      </c>
      <c r="I33" s="35" t="str">
        <f>VLOOKUP(H33,保障组织结构树!C:E,3,0)</f>
        <v>z19</v>
      </c>
    </row>
    <row r="34" spans="1:9" ht="16">
      <c r="A34" s="32">
        <v>33</v>
      </c>
      <c r="B34" s="42" t="s">
        <v>876</v>
      </c>
      <c r="C34" s="33" t="s">
        <v>877</v>
      </c>
      <c r="D34" s="42" t="str">
        <f t="shared" si="0"/>
        <v>万用表-Fluke233</v>
      </c>
      <c r="E34" s="33" t="s">
        <v>340</v>
      </c>
      <c r="F34" s="34">
        <v>1</v>
      </c>
      <c r="G34" s="32" t="s">
        <v>245</v>
      </c>
      <c r="H34" s="32" t="s">
        <v>117</v>
      </c>
      <c r="I34" s="35" t="str">
        <f>VLOOKUP(H34,保障组织结构树!C:E,3,0)</f>
        <v>z19</v>
      </c>
    </row>
    <row r="35" spans="1:9" ht="32">
      <c r="A35" s="32">
        <v>34</v>
      </c>
      <c r="B35" s="42" t="s">
        <v>878</v>
      </c>
      <c r="C35" s="33" t="s">
        <v>879</v>
      </c>
      <c r="D35" s="42" t="str">
        <f t="shared" si="0"/>
        <v>30-4航炮组件贮运箱-J15.9903.A.000.000</v>
      </c>
      <c r="E35" s="33" t="s">
        <v>340</v>
      </c>
      <c r="F35" s="34">
        <v>1</v>
      </c>
      <c r="G35" s="32" t="s">
        <v>245</v>
      </c>
      <c r="H35" s="32" t="s">
        <v>117</v>
      </c>
      <c r="I35" s="35" t="str">
        <f>VLOOKUP(H35,保障组织结构树!C:E,3,0)</f>
        <v>z19</v>
      </c>
    </row>
    <row r="36" spans="1:9" ht="32">
      <c r="A36" s="32">
        <v>35</v>
      </c>
      <c r="B36" s="42" t="s">
        <v>880</v>
      </c>
      <c r="C36" s="33" t="s">
        <v>881</v>
      </c>
      <c r="D36" s="42" t="str">
        <f t="shared" si="0"/>
        <v>电动挂弹车-W/DDZC-1A</v>
      </c>
      <c r="E36" s="33" t="s">
        <v>340</v>
      </c>
      <c r="F36" s="34">
        <v>1</v>
      </c>
      <c r="G36" s="32" t="s">
        <v>245</v>
      </c>
      <c r="H36" s="32" t="s">
        <v>117</v>
      </c>
      <c r="I36" s="35" t="str">
        <f>VLOOKUP(H36,保障组织结构树!C:E,3,0)</f>
        <v>z19</v>
      </c>
    </row>
    <row r="37" spans="1:9" ht="16">
      <c r="A37" s="32">
        <v>36</v>
      </c>
      <c r="B37" s="42" t="s">
        <v>882</v>
      </c>
      <c r="C37" s="33" t="s">
        <v>883</v>
      </c>
      <c r="D37" s="42" t="str">
        <f t="shared" si="0"/>
        <v>抛放弹检查仪-W/PFSY-1</v>
      </c>
      <c r="E37" s="33" t="s">
        <v>340</v>
      </c>
      <c r="F37" s="34">
        <v>1</v>
      </c>
      <c r="G37" s="32" t="s">
        <v>245</v>
      </c>
      <c r="H37" s="32" t="s">
        <v>117</v>
      </c>
      <c r="I37" s="35" t="str">
        <f>VLOOKUP(H37,保障组织结构树!C:E,3,0)</f>
        <v>z19</v>
      </c>
    </row>
    <row r="38" spans="1:9" ht="32">
      <c r="A38" s="32">
        <v>37</v>
      </c>
      <c r="B38" s="42" t="s">
        <v>884</v>
      </c>
      <c r="C38" s="33" t="s">
        <v>885</v>
      </c>
      <c r="D38" s="42" t="str">
        <f t="shared" si="0"/>
        <v>大气数据测控仪-ADTS203D-1</v>
      </c>
      <c r="E38" s="33" t="s">
        <v>340</v>
      </c>
      <c r="F38" s="34">
        <v>1</v>
      </c>
      <c r="G38" s="32" t="s">
        <v>245</v>
      </c>
      <c r="H38" s="32" t="s">
        <v>117</v>
      </c>
      <c r="I38" s="35" t="str">
        <f>VLOOKUP(H38,保障组织结构树!C:E,3,0)</f>
        <v>z19</v>
      </c>
    </row>
    <row r="39" spans="1:9" ht="32">
      <c r="A39" s="32">
        <v>38</v>
      </c>
      <c r="B39" s="42" t="s">
        <v>886</v>
      </c>
      <c r="C39" s="33" t="s">
        <v>887</v>
      </c>
      <c r="D39" s="42" t="str">
        <f t="shared" si="0"/>
        <v>涡轮起动机调节片检测电缆-WQJD-1A</v>
      </c>
      <c r="E39" s="33" t="s">
        <v>340</v>
      </c>
      <c r="F39" s="34">
        <v>1</v>
      </c>
      <c r="G39" s="32" t="s">
        <v>245</v>
      </c>
      <c r="H39" s="32" t="s">
        <v>117</v>
      </c>
      <c r="I39" s="35" t="str">
        <f>VLOOKUP(H39,保障组织结构树!C:E,3,0)</f>
        <v>z19</v>
      </c>
    </row>
    <row r="40" spans="1:9" ht="16">
      <c r="A40" s="32">
        <v>39</v>
      </c>
      <c r="B40" s="42" t="s">
        <v>888</v>
      </c>
      <c r="C40" s="33" t="s">
        <v>889</v>
      </c>
      <c r="D40" s="42" t="str">
        <f t="shared" si="0"/>
        <v>飞控系统检测仪-B/FKCSY-2</v>
      </c>
      <c r="E40" s="33" t="s">
        <v>340</v>
      </c>
      <c r="F40" s="34">
        <v>1</v>
      </c>
      <c r="G40" s="32" t="s">
        <v>245</v>
      </c>
      <c r="H40" s="32" t="s">
        <v>117</v>
      </c>
      <c r="I40" s="35" t="str">
        <f>VLOOKUP(H40,保障组织结构树!C:E,3,0)</f>
        <v>z19</v>
      </c>
    </row>
    <row r="41" spans="1:9" ht="16">
      <c r="A41" s="32">
        <v>40</v>
      </c>
      <c r="B41" s="42" t="s">
        <v>890</v>
      </c>
      <c r="C41" s="33" t="s">
        <v>891</v>
      </c>
      <c r="D41" s="42" t="str">
        <f t="shared" si="0"/>
        <v>角规夹具-SGGJ15-2A</v>
      </c>
      <c r="E41" s="33" t="s">
        <v>340</v>
      </c>
      <c r="F41" s="34">
        <v>1</v>
      </c>
      <c r="G41" s="32" t="s">
        <v>245</v>
      </c>
      <c r="H41" s="32" t="s">
        <v>117</v>
      </c>
      <c r="I41" s="35" t="str">
        <f>VLOOKUP(H41,保障组织结构树!C:E,3,0)</f>
        <v>z19</v>
      </c>
    </row>
    <row r="42" spans="1:9" ht="16">
      <c r="A42" s="32">
        <v>41</v>
      </c>
      <c r="B42" s="42" t="s">
        <v>892</v>
      </c>
      <c r="C42" s="33" t="s">
        <v>893</v>
      </c>
      <c r="D42" s="42" t="str">
        <f t="shared" si="0"/>
        <v>氧气设备检测仪-YS-4C</v>
      </c>
      <c r="E42" s="33" t="s">
        <v>340</v>
      </c>
      <c r="F42" s="34">
        <v>1</v>
      </c>
      <c r="G42" s="32" t="s">
        <v>245</v>
      </c>
      <c r="H42" s="32" t="s">
        <v>117</v>
      </c>
      <c r="I42" s="35" t="str">
        <f>VLOOKUP(H42,保障组织结构树!C:E,3,0)</f>
        <v>z19</v>
      </c>
    </row>
    <row r="43" spans="1:9" ht="32">
      <c r="A43" s="32">
        <v>42</v>
      </c>
      <c r="B43" s="42" t="s">
        <v>894</v>
      </c>
      <c r="C43" s="33" t="s">
        <v>895</v>
      </c>
      <c r="D43" s="42" t="str">
        <f t="shared" si="0"/>
        <v>数据管理记录分系统外场检测处理机-FWJ-15T</v>
      </c>
      <c r="E43" s="33" t="s">
        <v>340</v>
      </c>
      <c r="F43" s="34">
        <v>1</v>
      </c>
      <c r="G43" s="32" t="s">
        <v>245</v>
      </c>
      <c r="H43" s="32" t="s">
        <v>117</v>
      </c>
      <c r="I43" s="35" t="str">
        <f>VLOOKUP(H43,保障组织结构树!C:E,3,0)</f>
        <v>z19</v>
      </c>
    </row>
    <row r="44" spans="1:9" ht="32">
      <c r="A44" s="32">
        <v>43</v>
      </c>
      <c r="B44" s="42" t="s">
        <v>896</v>
      </c>
      <c r="C44" s="33" t="s">
        <v>897</v>
      </c>
      <c r="D44" s="42" t="str">
        <f t="shared" si="0"/>
        <v>驾驶员操纵装置检查仪-B/CZCSY-2</v>
      </c>
      <c r="E44" s="33" t="s">
        <v>340</v>
      </c>
      <c r="F44" s="34">
        <v>1</v>
      </c>
      <c r="G44" s="32" t="s">
        <v>245</v>
      </c>
      <c r="H44" s="32" t="s">
        <v>117</v>
      </c>
      <c r="I44" s="35" t="str">
        <f>VLOOKUP(H44,保障组织结构树!C:E,3,0)</f>
        <v>z19</v>
      </c>
    </row>
    <row r="45" spans="1:9" ht="16">
      <c r="A45" s="32">
        <v>44</v>
      </c>
      <c r="B45" s="42" t="s">
        <v>898</v>
      </c>
      <c r="C45" s="33" t="s">
        <v>899</v>
      </c>
      <c r="D45" s="42" t="str">
        <f t="shared" si="0"/>
        <v>氧气排放设备-S/YQTS-1</v>
      </c>
      <c r="E45" s="33" t="s">
        <v>340</v>
      </c>
      <c r="F45" s="34">
        <v>1</v>
      </c>
      <c r="G45" s="32" t="s">
        <v>245</v>
      </c>
      <c r="H45" s="32" t="s">
        <v>117</v>
      </c>
      <c r="I45" s="35" t="str">
        <f>VLOOKUP(H45,保障组织结构树!C:E,3,0)</f>
        <v>z19</v>
      </c>
    </row>
    <row r="46" spans="1:9" ht="16">
      <c r="A46" s="32">
        <v>45</v>
      </c>
      <c r="B46" s="42" t="s">
        <v>900</v>
      </c>
      <c r="C46" s="33" t="s">
        <v>901</v>
      </c>
      <c r="D46" s="42" t="str">
        <f t="shared" si="0"/>
        <v>通信识别外场检查仪-B/TXCSY-1</v>
      </c>
      <c r="E46" s="33" t="s">
        <v>340</v>
      </c>
      <c r="F46" s="34">
        <v>1</v>
      </c>
      <c r="G46" s="32" t="s">
        <v>245</v>
      </c>
      <c r="H46" s="32" t="s">
        <v>117</v>
      </c>
      <c r="I46" s="35" t="str">
        <f>VLOOKUP(H46,保障组织结构树!C:E,3,0)</f>
        <v>z19</v>
      </c>
    </row>
    <row r="47" spans="1:9" ht="32">
      <c r="A47" s="32">
        <v>46</v>
      </c>
      <c r="B47" s="42" t="s">
        <v>902</v>
      </c>
      <c r="C47" s="33" t="s">
        <v>903</v>
      </c>
      <c r="D47" s="42" t="str">
        <f t="shared" si="0"/>
        <v>导航外场检查仪-B/DHCSY-1/1</v>
      </c>
      <c r="E47" s="33" t="s">
        <v>340</v>
      </c>
      <c r="F47" s="34">
        <v>1</v>
      </c>
      <c r="G47" s="32" t="s">
        <v>245</v>
      </c>
      <c r="H47" s="32" t="s">
        <v>117</v>
      </c>
      <c r="I47" s="35" t="str">
        <f>VLOOKUP(H47,保障组织结构树!C:E,3,0)</f>
        <v>z19</v>
      </c>
    </row>
    <row r="48" spans="1:9" ht="16">
      <c r="A48" s="32">
        <v>47</v>
      </c>
      <c r="B48" s="43" t="s">
        <v>904</v>
      </c>
      <c r="C48" s="37"/>
      <c r="D48" s="42" t="str">
        <f t="shared" si="0"/>
        <v>注油枪（黑油、白油）</v>
      </c>
      <c r="E48" s="38" t="s">
        <v>339</v>
      </c>
      <c r="F48" s="36">
        <v>2</v>
      </c>
      <c r="G48" s="32" t="s">
        <v>245</v>
      </c>
      <c r="H48" s="32" t="s">
        <v>115</v>
      </c>
      <c r="I48" s="35" t="str">
        <f>VLOOKUP(H48,保障组织结构树!C:E,3,0)</f>
        <v>z17</v>
      </c>
    </row>
    <row r="49" spans="1:9" ht="32">
      <c r="A49" s="32">
        <v>48</v>
      </c>
      <c r="B49" s="43" t="s">
        <v>905</v>
      </c>
      <c r="C49" s="37"/>
      <c r="D49" s="42" t="str">
        <f t="shared" si="0"/>
        <v>旋翼液压阻尼器注油枪（含卡簧钳）</v>
      </c>
      <c r="E49" s="38" t="s">
        <v>339</v>
      </c>
      <c r="F49" s="36">
        <v>1</v>
      </c>
      <c r="G49" s="32" t="s">
        <v>245</v>
      </c>
      <c r="H49" s="32" t="s">
        <v>115</v>
      </c>
      <c r="I49" s="35" t="str">
        <f>VLOOKUP(H49,保障组织结构树!C:E,3,0)</f>
        <v>z17</v>
      </c>
    </row>
    <row r="50" spans="1:9" ht="16">
      <c r="A50" s="32">
        <v>49</v>
      </c>
      <c r="B50" s="43" t="s">
        <v>906</v>
      </c>
      <c r="C50" s="37"/>
      <c r="D50" s="42" t="str">
        <f t="shared" si="0"/>
        <v>应急移动电源</v>
      </c>
      <c r="E50" s="38" t="s">
        <v>339</v>
      </c>
      <c r="F50" s="36">
        <v>1</v>
      </c>
      <c r="G50" s="32" t="s">
        <v>245</v>
      </c>
      <c r="H50" s="32" t="s">
        <v>115</v>
      </c>
      <c r="I50" s="35" t="str">
        <f>VLOOKUP(H50,保障组织结构树!C:E,3,0)</f>
        <v>z17</v>
      </c>
    </row>
    <row r="51" spans="1:9" ht="16">
      <c r="A51" s="32">
        <v>50</v>
      </c>
      <c r="B51" s="43" t="s">
        <v>907</v>
      </c>
      <c r="C51" s="37"/>
      <c r="D51" s="42" t="str">
        <f t="shared" si="0"/>
        <v>折叠辅助系统</v>
      </c>
      <c r="E51" s="38" t="s">
        <v>339</v>
      </c>
      <c r="F51" s="36">
        <v>1</v>
      </c>
      <c r="G51" s="32" t="s">
        <v>245</v>
      </c>
      <c r="H51" s="32" t="s">
        <v>115</v>
      </c>
      <c r="I51" s="35" t="str">
        <f>VLOOKUP(H51,保障组织结构树!C:E,3,0)</f>
        <v>z17</v>
      </c>
    </row>
    <row r="52" spans="1:9" ht="16">
      <c r="A52" s="32">
        <v>51</v>
      </c>
      <c r="B52" s="43" t="s">
        <v>908</v>
      </c>
      <c r="C52" s="37"/>
      <c r="D52" s="42" t="str">
        <f t="shared" si="0"/>
        <v>综合武器模拟器+电源</v>
      </c>
      <c r="E52" s="38" t="s">
        <v>339</v>
      </c>
      <c r="F52" s="36">
        <v>1</v>
      </c>
      <c r="G52" s="32" t="s">
        <v>245</v>
      </c>
      <c r="H52" s="32" t="s">
        <v>115</v>
      </c>
      <c r="I52" s="35" t="str">
        <f>VLOOKUP(H52,保障组织结构树!C:E,3,0)</f>
        <v>z17</v>
      </c>
    </row>
    <row r="53" spans="1:9" ht="16">
      <c r="A53" s="32">
        <v>52</v>
      </c>
      <c r="B53" s="43" t="s">
        <v>909</v>
      </c>
      <c r="C53" s="37"/>
      <c r="D53" s="42" t="str">
        <f t="shared" si="0"/>
        <v>测振设备</v>
      </c>
      <c r="E53" s="38" t="s">
        <v>339</v>
      </c>
      <c r="F53" s="36">
        <v>1</v>
      </c>
      <c r="G53" s="32" t="s">
        <v>245</v>
      </c>
      <c r="H53" s="32" t="s">
        <v>115</v>
      </c>
      <c r="I53" s="35" t="str">
        <f>VLOOKUP(H53,保障组织结构树!C:E,3,0)</f>
        <v>z17</v>
      </c>
    </row>
    <row r="54" spans="1:9" ht="16">
      <c r="A54" s="32">
        <v>53</v>
      </c>
      <c r="B54" s="43" t="s">
        <v>910</v>
      </c>
      <c r="C54" s="37"/>
      <c r="D54" s="42" t="str">
        <f t="shared" si="0"/>
        <v>军械设备包</v>
      </c>
      <c r="E54" s="38" t="s">
        <v>339</v>
      </c>
      <c r="F54" s="36">
        <v>1</v>
      </c>
      <c r="G54" s="32" t="s">
        <v>245</v>
      </c>
      <c r="H54" s="32" t="s">
        <v>115</v>
      </c>
      <c r="I54" s="35" t="str">
        <f>VLOOKUP(H54,保障组织结构树!C:E,3,0)</f>
        <v>z17</v>
      </c>
    </row>
    <row r="55" spans="1:9" ht="16">
      <c r="A55" s="32">
        <v>54</v>
      </c>
      <c r="B55" s="43" t="s">
        <v>911</v>
      </c>
      <c r="C55" s="37"/>
      <c r="D55" s="42" t="str">
        <f t="shared" si="0"/>
        <v>振动信号分析仪</v>
      </c>
      <c r="E55" s="38" t="s">
        <v>339</v>
      </c>
      <c r="F55" s="36">
        <v>1</v>
      </c>
      <c r="G55" s="32" t="s">
        <v>245</v>
      </c>
      <c r="H55" s="32" t="s">
        <v>115</v>
      </c>
      <c r="I55" s="35" t="str">
        <f>VLOOKUP(H55,保障组织结构树!C:E,3,0)</f>
        <v>z17</v>
      </c>
    </row>
    <row r="56" spans="1:9" ht="16">
      <c r="A56" s="32">
        <v>55</v>
      </c>
      <c r="B56" s="43" t="s">
        <v>912</v>
      </c>
      <c r="C56" s="37"/>
      <c r="D56" s="42" t="str">
        <f t="shared" si="0"/>
        <v>液压工具箱</v>
      </c>
      <c r="E56" s="38" t="s">
        <v>339</v>
      </c>
      <c r="F56" s="36">
        <v>1</v>
      </c>
      <c r="G56" s="32" t="s">
        <v>245</v>
      </c>
      <c r="H56" s="32" t="s">
        <v>115</v>
      </c>
      <c r="I56" s="35" t="str">
        <f>VLOOKUP(H56,保障组织结构树!C:E,3,0)</f>
        <v>z17</v>
      </c>
    </row>
    <row r="57" spans="1:9" ht="16">
      <c r="A57" s="32">
        <v>56</v>
      </c>
      <c r="B57" s="43" t="s">
        <v>913</v>
      </c>
      <c r="C57" s="37"/>
      <c r="D57" s="42" t="str">
        <f t="shared" si="0"/>
        <v>操纵工具箱</v>
      </c>
      <c r="E57" s="38" t="s">
        <v>339</v>
      </c>
      <c r="F57" s="36">
        <v>1</v>
      </c>
      <c r="G57" s="32" t="s">
        <v>245</v>
      </c>
      <c r="H57" s="32" t="s">
        <v>115</v>
      </c>
      <c r="I57" s="35" t="str">
        <f>VLOOKUP(H57,保障组织结构树!C:E,3,0)</f>
        <v>z17</v>
      </c>
    </row>
    <row r="58" spans="1:9" ht="16">
      <c r="A58" s="32">
        <v>57</v>
      </c>
      <c r="B58" s="43" t="s">
        <v>914</v>
      </c>
      <c r="C58" s="37"/>
      <c r="D58" s="42" t="str">
        <f t="shared" si="0"/>
        <v>声纳信号模拟器</v>
      </c>
      <c r="E58" s="38" t="s">
        <v>339</v>
      </c>
      <c r="F58" s="36">
        <v>1</v>
      </c>
      <c r="G58" s="32" t="s">
        <v>245</v>
      </c>
      <c r="H58" s="32" t="s">
        <v>115</v>
      </c>
      <c r="I58" s="35" t="str">
        <f>VLOOKUP(H58,保障组织结构树!C:E,3,0)</f>
        <v>z17</v>
      </c>
    </row>
    <row r="59" spans="1:9" ht="16">
      <c r="A59" s="32">
        <v>58</v>
      </c>
      <c r="B59" s="43" t="s">
        <v>915</v>
      </c>
      <c r="C59" s="37"/>
      <c r="D59" s="42" t="str">
        <f t="shared" si="0"/>
        <v>水下分机模拟器</v>
      </c>
      <c r="E59" s="38" t="s">
        <v>339</v>
      </c>
      <c r="F59" s="36">
        <v>1</v>
      </c>
      <c r="G59" s="32" t="s">
        <v>245</v>
      </c>
      <c r="H59" s="32" t="s">
        <v>115</v>
      </c>
      <c r="I59" s="35" t="str">
        <f>VLOOKUP(H59,保障组织结构树!C:E,3,0)</f>
        <v>z17</v>
      </c>
    </row>
    <row r="60" spans="1:9" ht="16">
      <c r="A60" s="32">
        <v>59</v>
      </c>
      <c r="B60" s="43" t="s">
        <v>916</v>
      </c>
      <c r="C60" s="37"/>
      <c r="D60" s="42" t="str">
        <f t="shared" si="0"/>
        <v>舵机静态测试仪</v>
      </c>
      <c r="E60" s="38" t="s">
        <v>339</v>
      </c>
      <c r="F60" s="36">
        <v>1</v>
      </c>
      <c r="G60" s="32" t="s">
        <v>245</v>
      </c>
      <c r="H60" s="32" t="s">
        <v>115</v>
      </c>
      <c r="I60" s="35" t="str">
        <f>VLOOKUP(H60,保障组织结构树!C:E,3,0)</f>
        <v>z17</v>
      </c>
    </row>
    <row r="61" spans="1:9" ht="16">
      <c r="A61" s="32">
        <v>60</v>
      </c>
      <c r="B61" s="44" t="s">
        <v>917</v>
      </c>
      <c r="C61" s="40"/>
      <c r="D61" s="42" t="str">
        <f t="shared" si="0"/>
        <v>飞参判读设备</v>
      </c>
      <c r="E61" s="38" t="s">
        <v>337</v>
      </c>
      <c r="F61" s="39">
        <v>1</v>
      </c>
      <c r="G61" s="32" t="s">
        <v>245</v>
      </c>
      <c r="H61" s="32" t="s">
        <v>116</v>
      </c>
      <c r="I61" s="35" t="str">
        <f>VLOOKUP(H61,保障组织结构树!C:E,3,0)</f>
        <v>z18</v>
      </c>
    </row>
    <row r="62" spans="1:9" ht="16">
      <c r="A62" s="32">
        <v>61</v>
      </c>
      <c r="B62" s="44" t="s">
        <v>918</v>
      </c>
      <c r="C62" s="40"/>
      <c r="D62" s="42" t="str">
        <f t="shared" si="0"/>
        <v>FWJ-20飞参外场检测设备</v>
      </c>
      <c r="E62" s="38" t="s">
        <v>337</v>
      </c>
      <c r="F62" s="39">
        <v>1</v>
      </c>
      <c r="G62" s="32" t="s">
        <v>245</v>
      </c>
      <c r="H62" s="32" t="s">
        <v>116</v>
      </c>
      <c r="I62" s="35" t="str">
        <f>VLOOKUP(H62,保障组织结构树!C:E,3,0)</f>
        <v>z18</v>
      </c>
    </row>
    <row r="63" spans="1:9" ht="16">
      <c r="A63" s="32">
        <v>62</v>
      </c>
      <c r="B63" s="45" t="s">
        <v>919</v>
      </c>
      <c r="C63" s="40"/>
      <c r="D63" s="42" t="str">
        <f t="shared" si="0"/>
        <v>污水处理车</v>
      </c>
      <c r="E63" s="38" t="s">
        <v>337</v>
      </c>
      <c r="F63" s="41">
        <v>1</v>
      </c>
      <c r="G63" s="32" t="s">
        <v>245</v>
      </c>
      <c r="H63" s="32" t="s">
        <v>116</v>
      </c>
      <c r="I63" s="35" t="str">
        <f>VLOOKUP(H63,保障组织结构树!C:E,3,0)</f>
        <v>z18</v>
      </c>
    </row>
    <row r="64" spans="1:9" ht="16">
      <c r="A64" s="32">
        <v>63</v>
      </c>
      <c r="B64" s="45" t="s">
        <v>920</v>
      </c>
      <c r="C64" s="40"/>
      <c r="D64" s="42" t="str">
        <f t="shared" si="0"/>
        <v>清水车</v>
      </c>
      <c r="E64" s="38" t="s">
        <v>337</v>
      </c>
      <c r="F64" s="41">
        <v>1</v>
      </c>
      <c r="G64" s="32" t="s">
        <v>245</v>
      </c>
      <c r="H64" s="32" t="s">
        <v>116</v>
      </c>
      <c r="I64" s="35" t="str">
        <f>VLOOKUP(H64,保障组织结构树!C:E,3,0)</f>
        <v>z18</v>
      </c>
    </row>
    <row r="65" spans="1:9" ht="16">
      <c r="A65" s="32">
        <v>64</v>
      </c>
      <c r="B65" s="45" t="s">
        <v>921</v>
      </c>
      <c r="C65" s="40"/>
      <c r="D65" s="42" t="str">
        <f t="shared" si="0"/>
        <v>铜索天线拆装工具</v>
      </c>
      <c r="E65" s="38" t="s">
        <v>337</v>
      </c>
      <c r="F65" s="41">
        <v>1</v>
      </c>
      <c r="G65" s="32" t="s">
        <v>245</v>
      </c>
      <c r="H65" s="32" t="s">
        <v>116</v>
      </c>
      <c r="I65" s="35" t="str">
        <f>VLOOKUP(H65,保障组织结构树!C:E,3,0)</f>
        <v>z18</v>
      </c>
    </row>
    <row r="66" spans="1:9" ht="16">
      <c r="A66" s="32">
        <v>65</v>
      </c>
      <c r="B66" s="45" t="s">
        <v>922</v>
      </c>
      <c r="C66" s="40"/>
      <c r="D66" s="42" t="str">
        <f t="shared" si="0"/>
        <v>测试电脑</v>
      </c>
      <c r="E66" s="38" t="s">
        <v>337</v>
      </c>
      <c r="F66" s="41">
        <v>1</v>
      </c>
      <c r="G66" s="32" t="s">
        <v>245</v>
      </c>
      <c r="H66" s="32" t="s">
        <v>116</v>
      </c>
      <c r="I66" s="35" t="str">
        <f>VLOOKUP(H66,保障组织结构树!C:E,3,0)</f>
        <v>z18</v>
      </c>
    </row>
    <row r="67" spans="1:9" ht="16">
      <c r="A67" s="32">
        <v>66</v>
      </c>
      <c r="B67" s="45" t="s">
        <v>923</v>
      </c>
      <c r="C67" s="40"/>
      <c r="D67" s="42" t="str">
        <f t="shared" si="0"/>
        <v>数字万用表</v>
      </c>
      <c r="E67" s="38" t="s">
        <v>337</v>
      </c>
      <c r="F67" s="41">
        <v>2</v>
      </c>
      <c r="G67" s="32" t="s">
        <v>245</v>
      </c>
      <c r="H67" s="32" t="s">
        <v>116</v>
      </c>
      <c r="I67" s="35" t="str">
        <f>VLOOKUP(H67,保障组织结构树!C:E,3,0)</f>
        <v>z18</v>
      </c>
    </row>
    <row r="68" spans="1:9" ht="16">
      <c r="A68" s="32">
        <v>67</v>
      </c>
      <c r="B68" s="45" t="s">
        <v>924</v>
      </c>
      <c r="C68" s="40"/>
      <c r="D68" s="42" t="str">
        <f t="shared" ref="D68:D114" si="1">B68&amp;IF(C68&lt;&gt;"","-"&amp;C68,"")</f>
        <v>880负载板</v>
      </c>
      <c r="E68" s="38" t="s">
        <v>337</v>
      </c>
      <c r="F68" s="41">
        <v>1</v>
      </c>
      <c r="G68" s="32" t="s">
        <v>245</v>
      </c>
      <c r="H68" s="32" t="s">
        <v>116</v>
      </c>
      <c r="I68" s="35" t="str">
        <f>VLOOKUP(H68,保障组织结构树!C:E,3,0)</f>
        <v>z18</v>
      </c>
    </row>
    <row r="69" spans="1:9" ht="16">
      <c r="A69" s="32">
        <v>68</v>
      </c>
      <c r="B69" s="45" t="s">
        <v>925</v>
      </c>
      <c r="C69" s="40"/>
      <c r="D69" s="42" t="str">
        <f t="shared" si="1"/>
        <v>雷达信号模拟器（RM-6BG）</v>
      </c>
      <c r="E69" s="38" t="s">
        <v>337</v>
      </c>
      <c r="F69" s="41">
        <v>1</v>
      </c>
      <c r="G69" s="32" t="s">
        <v>245</v>
      </c>
      <c r="H69" s="32" t="s">
        <v>116</v>
      </c>
      <c r="I69" s="35" t="str">
        <f>VLOOKUP(H69,保障组织结构树!C:E,3,0)</f>
        <v>z18</v>
      </c>
    </row>
    <row r="70" spans="1:9" ht="32">
      <c r="A70" s="32">
        <v>69</v>
      </c>
      <c r="B70" s="45" t="s">
        <v>926</v>
      </c>
      <c r="C70" s="40"/>
      <c r="D70" s="42" t="str">
        <f t="shared" si="1"/>
        <v>手持式频谱仪(含N转SMA接口及测试高频线)</v>
      </c>
      <c r="E70" s="38" t="s">
        <v>337</v>
      </c>
      <c r="F70" s="41">
        <v>1</v>
      </c>
      <c r="G70" s="32" t="s">
        <v>245</v>
      </c>
      <c r="H70" s="32" t="s">
        <v>116</v>
      </c>
      <c r="I70" s="35" t="str">
        <f>VLOOKUP(H70,保障组织结构树!C:E,3,0)</f>
        <v>z18</v>
      </c>
    </row>
    <row r="71" spans="1:9" ht="16">
      <c r="A71" s="32">
        <v>70</v>
      </c>
      <c r="B71" s="45" t="s">
        <v>927</v>
      </c>
      <c r="C71" s="40"/>
      <c r="D71" s="42" t="str">
        <f t="shared" si="1"/>
        <v>DOME梯</v>
      </c>
      <c r="E71" s="38" t="s">
        <v>337</v>
      </c>
      <c r="F71" s="41">
        <v>1</v>
      </c>
      <c r="G71" s="32" t="s">
        <v>245</v>
      </c>
      <c r="H71" s="32" t="s">
        <v>116</v>
      </c>
      <c r="I71" s="35" t="str">
        <f>VLOOKUP(H71,保障组织结构树!C:E,3,0)</f>
        <v>z18</v>
      </c>
    </row>
    <row r="72" spans="1:9" ht="16">
      <c r="A72" s="32">
        <v>71</v>
      </c>
      <c r="B72" s="45" t="s">
        <v>928</v>
      </c>
      <c r="C72" s="40"/>
      <c r="D72" s="42" t="str">
        <f t="shared" si="1"/>
        <v>891时间同步仪</v>
      </c>
      <c r="E72" s="38" t="s">
        <v>337</v>
      </c>
      <c r="F72" s="41">
        <v>1</v>
      </c>
      <c r="G72" s="32" t="s">
        <v>245</v>
      </c>
      <c r="H72" s="32" t="s">
        <v>116</v>
      </c>
      <c r="I72" s="35" t="str">
        <f>VLOOKUP(H72,保障组织结构树!C:E,3,0)</f>
        <v>z18</v>
      </c>
    </row>
    <row r="73" spans="1:9" ht="16">
      <c r="A73" s="32">
        <v>72</v>
      </c>
      <c r="B73" s="45" t="s">
        <v>929</v>
      </c>
      <c r="C73" s="40"/>
      <c r="D73" s="42" t="str">
        <f t="shared" si="1"/>
        <v>保险柜</v>
      </c>
      <c r="E73" s="38" t="s">
        <v>337</v>
      </c>
      <c r="F73" s="41">
        <v>1</v>
      </c>
      <c r="G73" s="32" t="s">
        <v>245</v>
      </c>
      <c r="H73" s="32" t="s">
        <v>116</v>
      </c>
      <c r="I73" s="35" t="str">
        <f>VLOOKUP(H73,保障组织结构树!C:E,3,0)</f>
        <v>z18</v>
      </c>
    </row>
    <row r="74" spans="1:9" ht="32">
      <c r="A74" s="32">
        <v>73</v>
      </c>
      <c r="B74" s="45" t="s">
        <v>930</v>
      </c>
      <c r="C74" s="40"/>
      <c r="D74" s="42" t="str">
        <f t="shared" si="1"/>
        <v>各专业随机工具箱（含仪表氧气工具箱）</v>
      </c>
      <c r="E74" s="38" t="s">
        <v>337</v>
      </c>
      <c r="F74" s="41">
        <v>1</v>
      </c>
      <c r="G74" s="32" t="s">
        <v>245</v>
      </c>
      <c r="H74" s="32" t="s">
        <v>116</v>
      </c>
      <c r="I74" s="35" t="str">
        <f>VLOOKUP(H74,保障组织结构树!C:E,3,0)</f>
        <v>z18</v>
      </c>
    </row>
    <row r="75" spans="1:9" ht="16">
      <c r="A75" s="32">
        <v>74</v>
      </c>
      <c r="B75" s="45" t="s">
        <v>931</v>
      </c>
      <c r="C75" s="40"/>
      <c r="D75" s="42" t="str">
        <f t="shared" si="1"/>
        <v>发动机工具箱</v>
      </c>
      <c r="E75" s="38" t="s">
        <v>337</v>
      </c>
      <c r="F75" s="41">
        <v>1</v>
      </c>
      <c r="G75" s="32" t="s">
        <v>245</v>
      </c>
      <c r="H75" s="32" t="s">
        <v>116</v>
      </c>
      <c r="I75" s="35" t="str">
        <f>VLOOKUP(H75,保障组织结构树!C:E,3,0)</f>
        <v>z18</v>
      </c>
    </row>
    <row r="76" spans="1:9" ht="16">
      <c r="A76" s="32">
        <v>75</v>
      </c>
      <c r="B76" s="45" t="s">
        <v>932</v>
      </c>
      <c r="C76" s="40"/>
      <c r="D76" s="42" t="str">
        <f t="shared" si="1"/>
        <v>86件世达工具</v>
      </c>
      <c r="E76" s="38" t="s">
        <v>337</v>
      </c>
      <c r="F76" s="41">
        <v>1</v>
      </c>
      <c r="G76" s="32" t="s">
        <v>245</v>
      </c>
      <c r="H76" s="32" t="s">
        <v>116</v>
      </c>
      <c r="I76" s="35" t="str">
        <f>VLOOKUP(H76,保障组织结构树!C:E,3,0)</f>
        <v>z18</v>
      </c>
    </row>
    <row r="77" spans="1:9" ht="16">
      <c r="A77" s="32">
        <v>76</v>
      </c>
      <c r="B77" s="45" t="s">
        <v>933</v>
      </c>
      <c r="C77" s="40"/>
      <c r="D77" s="42" t="str">
        <f t="shared" si="1"/>
        <v>轮胎压力表</v>
      </c>
      <c r="E77" s="38" t="s">
        <v>337</v>
      </c>
      <c r="F77" s="41">
        <v>1</v>
      </c>
      <c r="G77" s="32" t="s">
        <v>245</v>
      </c>
      <c r="H77" s="32" t="s">
        <v>116</v>
      </c>
      <c r="I77" s="35" t="str">
        <f>VLOOKUP(H77,保障组织结构树!C:E,3,0)</f>
        <v>z18</v>
      </c>
    </row>
    <row r="78" spans="1:9" ht="16">
      <c r="A78" s="32">
        <v>77</v>
      </c>
      <c r="B78" s="45" t="s">
        <v>934</v>
      </c>
      <c r="C78" s="40"/>
      <c r="D78" s="42" t="str">
        <f t="shared" si="1"/>
        <v>注油枪</v>
      </c>
      <c r="E78" s="38" t="s">
        <v>337</v>
      </c>
      <c r="F78" s="41">
        <v>1</v>
      </c>
      <c r="G78" s="32" t="s">
        <v>245</v>
      </c>
      <c r="H78" s="32" t="s">
        <v>116</v>
      </c>
      <c r="I78" s="35" t="str">
        <f>VLOOKUP(H78,保障组织结构树!C:E,3,0)</f>
        <v>z18</v>
      </c>
    </row>
    <row r="79" spans="1:9" ht="16">
      <c r="A79" s="32">
        <v>78</v>
      </c>
      <c r="B79" s="45" t="s">
        <v>935</v>
      </c>
      <c r="C79" s="40"/>
      <c r="D79" s="42" t="str">
        <f t="shared" si="1"/>
        <v>28V直流电缆</v>
      </c>
      <c r="E79" s="38" t="s">
        <v>337</v>
      </c>
      <c r="F79" s="41">
        <v>1</v>
      </c>
      <c r="G79" s="32" t="s">
        <v>245</v>
      </c>
      <c r="H79" s="32" t="s">
        <v>116</v>
      </c>
      <c r="I79" s="35" t="str">
        <f>VLOOKUP(H79,保障组织结构树!C:E,3,0)</f>
        <v>z18</v>
      </c>
    </row>
    <row r="80" spans="1:9" ht="16">
      <c r="A80" s="32">
        <v>79</v>
      </c>
      <c r="B80" s="45" t="s">
        <v>936</v>
      </c>
      <c r="C80" s="40"/>
      <c r="D80" s="42" t="str">
        <f t="shared" si="1"/>
        <v>机背梯</v>
      </c>
      <c r="E80" s="38" t="s">
        <v>337</v>
      </c>
      <c r="F80" s="41">
        <v>1</v>
      </c>
      <c r="G80" s="32" t="s">
        <v>245</v>
      </c>
      <c r="H80" s="32" t="s">
        <v>116</v>
      </c>
      <c r="I80" s="35" t="str">
        <f>VLOOKUP(H80,保障组织结构树!C:E,3,0)</f>
        <v>z18</v>
      </c>
    </row>
    <row r="81" spans="1:9" ht="16">
      <c r="A81" s="32">
        <v>80</v>
      </c>
      <c r="B81" s="45" t="s">
        <v>937</v>
      </c>
      <c r="C81" s="40"/>
      <c r="D81" s="42" t="str">
        <f t="shared" si="1"/>
        <v>简易登机梯</v>
      </c>
      <c r="E81" s="38" t="s">
        <v>337</v>
      </c>
      <c r="F81" s="41">
        <v>1</v>
      </c>
      <c r="G81" s="32" t="s">
        <v>245</v>
      </c>
      <c r="H81" s="32" t="s">
        <v>116</v>
      </c>
      <c r="I81" s="35" t="str">
        <f>VLOOKUP(H81,保障组织结构树!C:E,3,0)</f>
        <v>z18</v>
      </c>
    </row>
    <row r="82" spans="1:9" ht="16">
      <c r="A82" s="32">
        <v>81</v>
      </c>
      <c r="B82" s="45" t="s">
        <v>938</v>
      </c>
      <c r="C82" s="40"/>
      <c r="D82" s="42" t="str">
        <f t="shared" si="1"/>
        <v>8号线</v>
      </c>
      <c r="E82" s="38" t="s">
        <v>337</v>
      </c>
      <c r="F82" s="41">
        <v>1</v>
      </c>
      <c r="G82" s="32" t="s">
        <v>245</v>
      </c>
      <c r="H82" s="32" t="s">
        <v>116</v>
      </c>
      <c r="I82" s="35" t="str">
        <f>VLOOKUP(H82,保障组织结构树!C:E,3,0)</f>
        <v>z18</v>
      </c>
    </row>
    <row r="83" spans="1:9" ht="16">
      <c r="A83" s="32">
        <v>82</v>
      </c>
      <c r="B83" s="45" t="s">
        <v>939</v>
      </c>
      <c r="C83" s="40"/>
      <c r="D83" s="42" t="str">
        <f t="shared" si="1"/>
        <v>防爆手电</v>
      </c>
      <c r="E83" s="38" t="s">
        <v>337</v>
      </c>
      <c r="F83" s="41">
        <v>10</v>
      </c>
      <c r="G83" s="32" t="s">
        <v>245</v>
      </c>
      <c r="H83" s="32" t="s">
        <v>116</v>
      </c>
      <c r="I83" s="35" t="str">
        <f>VLOOKUP(H83,保障组织结构树!C:E,3,0)</f>
        <v>z18</v>
      </c>
    </row>
    <row r="84" spans="1:9" ht="16">
      <c r="A84" s="32">
        <v>83</v>
      </c>
      <c r="B84" s="44" t="s">
        <v>940</v>
      </c>
      <c r="C84" s="40"/>
      <c r="D84" s="42" t="str">
        <f t="shared" si="1"/>
        <v>电动解刀</v>
      </c>
      <c r="E84" s="38" t="s">
        <v>337</v>
      </c>
      <c r="F84" s="41">
        <v>1</v>
      </c>
      <c r="G84" s="32" t="s">
        <v>245</v>
      </c>
      <c r="H84" s="32" t="s">
        <v>116</v>
      </c>
      <c r="I84" s="35" t="str">
        <f>VLOOKUP(H84,保障组织结构树!C:E,3,0)</f>
        <v>z18</v>
      </c>
    </row>
    <row r="85" spans="1:9" ht="16">
      <c r="A85" s="32">
        <v>84</v>
      </c>
      <c r="B85" s="44" t="s">
        <v>941</v>
      </c>
      <c r="C85" s="40"/>
      <c r="D85" s="42" t="str">
        <f t="shared" si="1"/>
        <v>液压油取样器</v>
      </c>
      <c r="E85" s="38" t="s">
        <v>337</v>
      </c>
      <c r="F85" s="41">
        <v>1</v>
      </c>
      <c r="G85" s="32" t="s">
        <v>245</v>
      </c>
      <c r="H85" s="32" t="s">
        <v>116</v>
      </c>
      <c r="I85" s="35" t="str">
        <f>VLOOKUP(H85,保障组织结构树!C:E,3,0)</f>
        <v>z18</v>
      </c>
    </row>
    <row r="86" spans="1:9" ht="16">
      <c r="A86" s="32">
        <v>85</v>
      </c>
      <c r="B86" s="44" t="s">
        <v>942</v>
      </c>
      <c r="C86" s="40"/>
      <c r="D86" s="42" t="str">
        <f t="shared" si="1"/>
        <v>冲击解刀</v>
      </c>
      <c r="E86" s="38" t="s">
        <v>337</v>
      </c>
      <c r="F86" s="41">
        <v>1</v>
      </c>
      <c r="G86" s="32" t="s">
        <v>245</v>
      </c>
      <c r="H86" s="32" t="s">
        <v>116</v>
      </c>
      <c r="I86" s="35" t="str">
        <f>VLOOKUP(H86,保障组织结构树!C:E,3,0)</f>
        <v>z18</v>
      </c>
    </row>
    <row r="87" spans="1:9" ht="16">
      <c r="A87" s="32">
        <v>86</v>
      </c>
      <c r="B87" s="44" t="s">
        <v>943</v>
      </c>
      <c r="C87" s="40"/>
      <c r="D87" s="42" t="str">
        <f t="shared" si="1"/>
        <v>信号枪专用扳手</v>
      </c>
      <c r="E87" s="38" t="s">
        <v>337</v>
      </c>
      <c r="F87" s="41">
        <v>1</v>
      </c>
      <c r="G87" s="32" t="s">
        <v>245</v>
      </c>
      <c r="H87" s="32" t="s">
        <v>116</v>
      </c>
      <c r="I87" s="35" t="str">
        <f>VLOOKUP(H87,保障组织结构树!C:E,3,0)</f>
        <v>z18</v>
      </c>
    </row>
    <row r="88" spans="1:9" ht="16">
      <c r="A88" s="32">
        <v>87</v>
      </c>
      <c r="B88" s="44" t="s">
        <v>944</v>
      </c>
      <c r="C88" s="40"/>
      <c r="D88" s="42" t="str">
        <f t="shared" si="1"/>
        <v>四方油盒</v>
      </c>
      <c r="E88" s="38" t="s">
        <v>337</v>
      </c>
      <c r="F88" s="41">
        <v>1</v>
      </c>
      <c r="G88" s="32" t="s">
        <v>245</v>
      </c>
      <c r="H88" s="32" t="s">
        <v>116</v>
      </c>
      <c r="I88" s="35" t="str">
        <f>VLOOKUP(H88,保障组织结构树!C:E,3,0)</f>
        <v>z18</v>
      </c>
    </row>
    <row r="89" spans="1:9" ht="16">
      <c r="A89" s="32">
        <v>88</v>
      </c>
      <c r="B89" s="44" t="s">
        <v>945</v>
      </c>
      <c r="C89" s="40"/>
      <c r="D89" s="42" t="str">
        <f t="shared" si="1"/>
        <v>发动机备件箱</v>
      </c>
      <c r="E89" s="38" t="s">
        <v>337</v>
      </c>
      <c r="F89" s="41">
        <v>1</v>
      </c>
      <c r="G89" s="32" t="s">
        <v>245</v>
      </c>
      <c r="H89" s="32" t="s">
        <v>116</v>
      </c>
      <c r="I89" s="35" t="str">
        <f>VLOOKUP(H89,保障组织结构树!C:E,3,0)</f>
        <v>z18</v>
      </c>
    </row>
    <row r="90" spans="1:9" ht="16">
      <c r="A90" s="32">
        <v>89</v>
      </c>
      <c r="B90" s="44" t="s">
        <v>946</v>
      </c>
      <c r="C90" s="40"/>
      <c r="D90" s="42" t="str">
        <f t="shared" si="1"/>
        <v>小发工具袋</v>
      </c>
      <c r="E90" s="38" t="s">
        <v>337</v>
      </c>
      <c r="F90" s="41">
        <v>1</v>
      </c>
      <c r="G90" s="32" t="s">
        <v>245</v>
      </c>
      <c r="H90" s="32" t="s">
        <v>116</v>
      </c>
      <c r="I90" s="35" t="str">
        <f>VLOOKUP(H90,保障组织结构树!C:E,3,0)</f>
        <v>z18</v>
      </c>
    </row>
    <row r="91" spans="1:9" ht="16">
      <c r="A91" s="32">
        <v>90</v>
      </c>
      <c r="B91" s="44" t="s">
        <v>947</v>
      </c>
      <c r="C91" s="40"/>
      <c r="D91" s="42" t="str">
        <f t="shared" si="1"/>
        <v>小发备件箱</v>
      </c>
      <c r="E91" s="38" t="s">
        <v>337</v>
      </c>
      <c r="F91" s="41">
        <v>1</v>
      </c>
      <c r="G91" s="32" t="s">
        <v>245</v>
      </c>
      <c r="H91" s="32" t="s">
        <v>116</v>
      </c>
      <c r="I91" s="35" t="str">
        <f>VLOOKUP(H91,保障组织结构树!C:E,3,0)</f>
        <v>z18</v>
      </c>
    </row>
    <row r="92" spans="1:9" ht="16">
      <c r="A92" s="32">
        <v>91</v>
      </c>
      <c r="B92" s="44" t="s">
        <v>948</v>
      </c>
      <c r="C92" s="40"/>
      <c r="D92" s="42" t="str">
        <f t="shared" si="1"/>
        <v>系留带、绳索</v>
      </c>
      <c r="E92" s="38" t="s">
        <v>337</v>
      </c>
      <c r="F92" s="41">
        <v>1</v>
      </c>
      <c r="G92" s="32" t="s">
        <v>245</v>
      </c>
      <c r="H92" s="32" t="s">
        <v>116</v>
      </c>
      <c r="I92" s="35" t="str">
        <f>VLOOKUP(H92,保障组织结构树!C:E,3,0)</f>
        <v>z18</v>
      </c>
    </row>
    <row r="93" spans="1:9" ht="16">
      <c r="A93" s="32">
        <v>92</v>
      </c>
      <c r="B93" s="44" t="s">
        <v>949</v>
      </c>
      <c r="C93" s="40"/>
      <c r="D93" s="42" t="str">
        <f t="shared" si="1"/>
        <v>防台捆绑绳索</v>
      </c>
      <c r="E93" s="38" t="s">
        <v>337</v>
      </c>
      <c r="F93" s="41">
        <v>1</v>
      </c>
      <c r="G93" s="32" t="s">
        <v>245</v>
      </c>
      <c r="H93" s="32" t="s">
        <v>116</v>
      </c>
      <c r="I93" s="35" t="str">
        <f>VLOOKUP(H93,保障组织结构树!C:E,3,0)</f>
        <v>z18</v>
      </c>
    </row>
    <row r="94" spans="1:9" ht="16">
      <c r="A94" s="32">
        <v>93</v>
      </c>
      <c r="B94" s="44" t="s">
        <v>950</v>
      </c>
      <c r="C94" s="40"/>
      <c r="D94" s="42" t="str">
        <f t="shared" si="1"/>
        <v>拆桨帽工具</v>
      </c>
      <c r="E94" s="38" t="s">
        <v>337</v>
      </c>
      <c r="F94" s="41">
        <v>1</v>
      </c>
      <c r="G94" s="32" t="s">
        <v>245</v>
      </c>
      <c r="H94" s="32" t="s">
        <v>116</v>
      </c>
      <c r="I94" s="35" t="str">
        <f>VLOOKUP(H94,保障组织结构树!C:E,3,0)</f>
        <v>z18</v>
      </c>
    </row>
    <row r="95" spans="1:9" ht="16">
      <c r="A95" s="32">
        <v>94</v>
      </c>
      <c r="B95" s="44" t="s">
        <v>951</v>
      </c>
      <c r="C95" s="40"/>
      <c r="D95" s="42" t="str">
        <f t="shared" si="1"/>
        <v>放油导管</v>
      </c>
      <c r="E95" s="38" t="s">
        <v>337</v>
      </c>
      <c r="F95" s="39">
        <v>2</v>
      </c>
      <c r="G95" s="32" t="s">
        <v>245</v>
      </c>
      <c r="H95" s="32" t="s">
        <v>116</v>
      </c>
      <c r="I95" s="35" t="str">
        <f>VLOOKUP(H95,保障组织结构树!C:E,3,0)</f>
        <v>z18</v>
      </c>
    </row>
    <row r="96" spans="1:9" ht="16">
      <c r="A96" s="32">
        <v>95</v>
      </c>
      <c r="B96" s="44" t="s">
        <v>952</v>
      </c>
      <c r="C96" s="40"/>
      <c r="D96" s="42" t="str">
        <f t="shared" si="1"/>
        <v>放油直头</v>
      </c>
      <c r="E96" s="38" t="s">
        <v>337</v>
      </c>
      <c r="F96" s="39">
        <v>2</v>
      </c>
      <c r="G96" s="32" t="s">
        <v>245</v>
      </c>
      <c r="H96" s="32" t="s">
        <v>116</v>
      </c>
      <c r="I96" s="35" t="str">
        <f>VLOOKUP(H96,保障组织结构树!C:E,3,0)</f>
        <v>z18</v>
      </c>
    </row>
    <row r="97" spans="1:9" ht="16">
      <c r="A97" s="32">
        <v>96</v>
      </c>
      <c r="B97" s="44" t="s">
        <v>953</v>
      </c>
      <c r="C97" s="40"/>
      <c r="D97" s="42" t="str">
        <f t="shared" si="1"/>
        <v>滑油加油壶</v>
      </c>
      <c r="E97" s="38" t="s">
        <v>337</v>
      </c>
      <c r="F97" s="41">
        <v>1</v>
      </c>
      <c r="G97" s="32" t="s">
        <v>245</v>
      </c>
      <c r="H97" s="32" t="s">
        <v>116</v>
      </c>
      <c r="I97" s="35" t="str">
        <f>VLOOKUP(H97,保障组织结构树!C:E,3,0)</f>
        <v>z18</v>
      </c>
    </row>
    <row r="98" spans="1:9" ht="16">
      <c r="A98" s="32">
        <v>97</v>
      </c>
      <c r="B98" s="44" t="s">
        <v>954</v>
      </c>
      <c r="C98" s="40"/>
      <c r="D98" s="42" t="str">
        <f t="shared" si="1"/>
        <v>机轮千斤顶</v>
      </c>
      <c r="E98" s="38" t="s">
        <v>337</v>
      </c>
      <c r="F98" s="41">
        <v>1</v>
      </c>
      <c r="G98" s="32" t="s">
        <v>245</v>
      </c>
      <c r="H98" s="32" t="s">
        <v>116</v>
      </c>
      <c r="I98" s="35" t="str">
        <f>VLOOKUP(H98,保障组织结构树!C:E,3,0)</f>
        <v>z18</v>
      </c>
    </row>
    <row r="99" spans="1:9" ht="16">
      <c r="A99" s="32">
        <v>98</v>
      </c>
      <c r="B99" s="44" t="s">
        <v>955</v>
      </c>
      <c r="C99" s="40"/>
      <c r="D99" s="42" t="str">
        <f t="shared" si="1"/>
        <v>照明灯箱组</v>
      </c>
      <c r="E99" s="38" t="s">
        <v>337</v>
      </c>
      <c r="F99" s="41">
        <v>1</v>
      </c>
      <c r="G99" s="32" t="s">
        <v>245</v>
      </c>
      <c r="H99" s="32" t="s">
        <v>116</v>
      </c>
      <c r="I99" s="35" t="str">
        <f>VLOOKUP(H99,保障组织结构树!C:E,3,0)</f>
        <v>z18</v>
      </c>
    </row>
    <row r="100" spans="1:9" ht="16">
      <c r="A100" s="32">
        <v>99</v>
      </c>
      <c r="B100" s="44" t="s">
        <v>927</v>
      </c>
      <c r="C100" s="40"/>
      <c r="D100" s="42" t="str">
        <f t="shared" si="1"/>
        <v>DOME梯</v>
      </c>
      <c r="E100" s="38" t="s">
        <v>337</v>
      </c>
      <c r="F100" s="41">
        <v>1</v>
      </c>
      <c r="G100" s="32" t="s">
        <v>245</v>
      </c>
      <c r="H100" s="32" t="s">
        <v>116</v>
      </c>
      <c r="I100" s="35" t="str">
        <f>VLOOKUP(H100,保障组织结构树!C:E,3,0)</f>
        <v>z18</v>
      </c>
    </row>
    <row r="101" spans="1:9" ht="16">
      <c r="A101" s="32">
        <v>100</v>
      </c>
      <c r="B101" s="44" t="s">
        <v>956</v>
      </c>
      <c r="C101" s="40"/>
      <c r="D101" s="42" t="str">
        <f t="shared" si="1"/>
        <v>着陆灯拆装扳手</v>
      </c>
      <c r="E101" s="38" t="s">
        <v>337</v>
      </c>
      <c r="F101" s="41">
        <v>1</v>
      </c>
      <c r="G101" s="32" t="s">
        <v>245</v>
      </c>
      <c r="H101" s="32" t="s">
        <v>116</v>
      </c>
      <c r="I101" s="35" t="str">
        <f>VLOOKUP(H101,保障组织结构树!C:E,3,0)</f>
        <v>z18</v>
      </c>
    </row>
    <row r="102" spans="1:9" ht="16">
      <c r="A102" s="32">
        <v>101</v>
      </c>
      <c r="B102" s="44" t="s">
        <v>856</v>
      </c>
      <c r="C102" s="40"/>
      <c r="D102" s="42" t="str">
        <f t="shared" si="1"/>
        <v>轮挡</v>
      </c>
      <c r="E102" s="38" t="s">
        <v>337</v>
      </c>
      <c r="F102" s="39">
        <v>4</v>
      </c>
      <c r="G102" s="32" t="s">
        <v>245</v>
      </c>
      <c r="H102" s="32" t="s">
        <v>116</v>
      </c>
      <c r="I102" s="35" t="str">
        <f>VLOOKUP(H102,保障组织结构树!C:E,3,0)</f>
        <v>z18</v>
      </c>
    </row>
    <row r="103" spans="1:9" ht="16">
      <c r="A103" s="32">
        <v>102</v>
      </c>
      <c r="B103" s="44" t="s">
        <v>957</v>
      </c>
      <c r="C103" s="40"/>
      <c r="D103" s="42" t="str">
        <f t="shared" si="1"/>
        <v>尾撑</v>
      </c>
      <c r="E103" s="38" t="s">
        <v>337</v>
      </c>
      <c r="F103" s="41">
        <v>1</v>
      </c>
      <c r="G103" s="32" t="s">
        <v>245</v>
      </c>
      <c r="H103" s="32" t="s">
        <v>116</v>
      </c>
      <c r="I103" s="35" t="str">
        <f>VLOOKUP(H103,保障组织结构树!C:E,3,0)</f>
        <v>z18</v>
      </c>
    </row>
    <row r="104" spans="1:9" ht="16">
      <c r="A104" s="32">
        <v>103</v>
      </c>
      <c r="B104" s="45" t="s">
        <v>958</v>
      </c>
      <c r="C104" s="40"/>
      <c r="D104" s="42" t="str">
        <f t="shared" si="1"/>
        <v>各种堵塞、套布</v>
      </c>
      <c r="E104" s="38" t="s">
        <v>337</v>
      </c>
      <c r="F104" s="41">
        <v>1</v>
      </c>
      <c r="G104" s="32" t="s">
        <v>245</v>
      </c>
      <c r="H104" s="32" t="s">
        <v>116</v>
      </c>
      <c r="I104" s="35" t="str">
        <f>VLOOKUP(H104,保障组织结构树!C:E,3,0)</f>
        <v>z18</v>
      </c>
    </row>
    <row r="105" spans="1:9" ht="16">
      <c r="A105" s="32">
        <v>104</v>
      </c>
      <c r="B105" s="45" t="s">
        <v>959</v>
      </c>
      <c r="C105" s="40"/>
      <c r="D105" s="42" t="str">
        <f t="shared" si="1"/>
        <v>20GNC28B型航空蓄电池</v>
      </c>
      <c r="E105" s="38" t="s">
        <v>337</v>
      </c>
      <c r="F105" s="41">
        <v>4</v>
      </c>
      <c r="G105" s="32" t="s">
        <v>245</v>
      </c>
      <c r="H105" s="32" t="s">
        <v>116</v>
      </c>
      <c r="I105" s="35" t="str">
        <f>VLOOKUP(H105,保障组织结构树!C:E,3,0)</f>
        <v>z18</v>
      </c>
    </row>
    <row r="106" spans="1:9" ht="16">
      <c r="A106" s="32">
        <v>105</v>
      </c>
      <c r="B106" s="45" t="s">
        <v>960</v>
      </c>
      <c r="C106" s="40"/>
      <c r="D106" s="42" t="str">
        <f t="shared" si="1"/>
        <v>轮胎拆卸工具</v>
      </c>
      <c r="E106" s="38" t="s">
        <v>337</v>
      </c>
      <c r="F106" s="41">
        <v>1</v>
      </c>
      <c r="G106" s="32" t="s">
        <v>245</v>
      </c>
      <c r="H106" s="32" t="s">
        <v>116</v>
      </c>
      <c r="I106" s="35" t="str">
        <f>VLOOKUP(H106,保障组织结构树!C:E,3,0)</f>
        <v>z18</v>
      </c>
    </row>
    <row r="107" spans="1:9" ht="16">
      <c r="A107" s="32">
        <v>106</v>
      </c>
      <c r="B107" s="45" t="s">
        <v>961</v>
      </c>
      <c r="C107" s="40"/>
      <c r="D107" s="42" t="str">
        <f t="shared" si="1"/>
        <v>200N定力扳手</v>
      </c>
      <c r="E107" s="38" t="s">
        <v>337</v>
      </c>
      <c r="F107" s="41">
        <v>1</v>
      </c>
      <c r="G107" s="32" t="s">
        <v>245</v>
      </c>
      <c r="H107" s="32" t="s">
        <v>116</v>
      </c>
      <c r="I107" s="35" t="str">
        <f>VLOOKUP(H107,保障组织结构树!C:E,3,0)</f>
        <v>z18</v>
      </c>
    </row>
    <row r="108" spans="1:9" ht="16">
      <c r="A108" s="32">
        <v>107</v>
      </c>
      <c r="B108" s="45" t="s">
        <v>962</v>
      </c>
      <c r="C108" s="40"/>
      <c r="D108" s="42" t="str">
        <f t="shared" si="1"/>
        <v>发动机工作梯</v>
      </c>
      <c r="E108" s="38" t="s">
        <v>337</v>
      </c>
      <c r="F108" s="41">
        <v>2</v>
      </c>
      <c r="G108" s="32" t="s">
        <v>245</v>
      </c>
      <c r="H108" s="32" t="s">
        <v>116</v>
      </c>
      <c r="I108" s="35" t="str">
        <f>VLOOKUP(H108,保障组织结构树!C:E,3,0)</f>
        <v>z18</v>
      </c>
    </row>
    <row r="109" spans="1:9" ht="16">
      <c r="A109" s="32">
        <v>108</v>
      </c>
      <c r="B109" s="45" t="s">
        <v>963</v>
      </c>
      <c r="C109" s="40"/>
      <c r="D109" s="42" t="str">
        <f t="shared" si="1"/>
        <v>液压升降梯</v>
      </c>
      <c r="E109" s="38" t="s">
        <v>337</v>
      </c>
      <c r="F109" s="41">
        <v>1</v>
      </c>
      <c r="G109" s="32" t="s">
        <v>245</v>
      </c>
      <c r="H109" s="32" t="s">
        <v>116</v>
      </c>
      <c r="I109" s="35" t="str">
        <f>VLOOKUP(H109,保障组织结构树!C:E,3,0)</f>
        <v>z18</v>
      </c>
    </row>
    <row r="110" spans="1:9" ht="16">
      <c r="A110" s="32">
        <v>109</v>
      </c>
      <c r="B110" s="45" t="s">
        <v>812</v>
      </c>
      <c r="C110" s="40"/>
      <c r="D110" s="42" t="str">
        <f t="shared" si="1"/>
        <v>登机梯</v>
      </c>
      <c r="E110" s="38" t="s">
        <v>337</v>
      </c>
      <c r="F110" s="41">
        <v>1</v>
      </c>
      <c r="G110" s="32" t="s">
        <v>245</v>
      </c>
      <c r="H110" s="32" t="s">
        <v>116</v>
      </c>
      <c r="I110" s="35" t="str">
        <f>VLOOKUP(H110,保障组织结构树!C:E,3,0)</f>
        <v>z18</v>
      </c>
    </row>
    <row r="111" spans="1:9" ht="16">
      <c r="A111" s="32">
        <v>110</v>
      </c>
      <c r="B111" s="9" t="s">
        <v>968</v>
      </c>
      <c r="D111" s="42" t="str">
        <f t="shared" si="1"/>
        <v>挂弹车</v>
      </c>
      <c r="F111" s="41">
        <v>10</v>
      </c>
      <c r="G111" s="9" t="s">
        <v>969</v>
      </c>
      <c r="H111" s="32" t="s">
        <v>117</v>
      </c>
      <c r="I111" s="35" t="str">
        <f>VLOOKUP(H111,保障组织结构树!C:E,3,0)</f>
        <v>z19</v>
      </c>
    </row>
    <row r="112" spans="1:9" ht="16">
      <c r="A112" s="32">
        <v>111</v>
      </c>
      <c r="B112" s="9" t="s">
        <v>970</v>
      </c>
      <c r="D112" s="42" t="str">
        <f t="shared" si="1"/>
        <v>牵引车</v>
      </c>
      <c r="F112" s="41">
        <v>10</v>
      </c>
      <c r="G112" s="9" t="s">
        <v>969</v>
      </c>
      <c r="H112" s="32" t="s">
        <v>117</v>
      </c>
      <c r="I112" s="35" t="str">
        <f>VLOOKUP(H112,保障组织结构树!C:E,3,0)</f>
        <v>z19</v>
      </c>
    </row>
    <row r="113" spans="1:9" ht="16">
      <c r="A113" s="32">
        <v>112</v>
      </c>
      <c r="B113" s="9" t="s">
        <v>971</v>
      </c>
      <c r="D113" s="42" t="str">
        <f t="shared" si="1"/>
        <v>电源车</v>
      </c>
      <c r="F113" s="41">
        <v>4</v>
      </c>
      <c r="G113" s="9" t="s">
        <v>969</v>
      </c>
      <c r="H113" s="32" t="s">
        <v>117</v>
      </c>
      <c r="I113" s="35" t="str">
        <f>VLOOKUP(H113,保障组织结构树!C:E,3,0)</f>
        <v>z19</v>
      </c>
    </row>
    <row r="114" spans="1:9" ht="16">
      <c r="A114" s="32">
        <v>113</v>
      </c>
      <c r="B114" s="9" t="s">
        <v>972</v>
      </c>
      <c r="D114" s="42" t="str">
        <f t="shared" si="1"/>
        <v>惯导车</v>
      </c>
      <c r="F114" s="41">
        <v>4</v>
      </c>
      <c r="G114" s="9" t="s">
        <v>969</v>
      </c>
      <c r="H114" s="32" t="s">
        <v>117</v>
      </c>
      <c r="I114" s="35" t="str">
        <f>VLOOKUP(H114,保障组织结构树!C:E,3,0)</f>
        <v>z19</v>
      </c>
    </row>
    <row r="115" spans="1:9" ht="16">
      <c r="A115" s="32">
        <v>114</v>
      </c>
      <c r="B115" s="17" t="s">
        <v>974</v>
      </c>
      <c r="D115" s="42" t="str">
        <f t="shared" ref="D115:D120" si="2">B115&amp;IF(C115&lt;&gt;"","-"&amp;C115,"")</f>
        <v>装退弹工具和保险销</v>
      </c>
      <c r="F115" s="41">
        <v>4</v>
      </c>
      <c r="G115" s="9" t="s">
        <v>245</v>
      </c>
      <c r="H115" s="32" t="s">
        <v>117</v>
      </c>
      <c r="I115" s="35" t="str">
        <f>VLOOKUP(H115,保障组织结构树!C:E,3,0)</f>
        <v>z19</v>
      </c>
    </row>
    <row r="116" spans="1:9" ht="16">
      <c r="A116" s="32">
        <v>115</v>
      </c>
      <c r="B116" s="17" t="s">
        <v>876</v>
      </c>
      <c r="D116" s="42" t="str">
        <f t="shared" si="2"/>
        <v>万用表</v>
      </c>
      <c r="F116" s="41">
        <v>4</v>
      </c>
      <c r="G116" s="9" t="s">
        <v>977</v>
      </c>
      <c r="H116" s="32" t="s">
        <v>117</v>
      </c>
      <c r="I116" s="35" t="str">
        <f>VLOOKUP(H116,保障组织结构树!C:E,3,0)</f>
        <v>z19</v>
      </c>
    </row>
    <row r="117" spans="1:9" ht="16">
      <c r="A117" s="32">
        <v>116</v>
      </c>
      <c r="B117" s="17" t="s">
        <v>975</v>
      </c>
      <c r="D117" s="42" t="str">
        <f t="shared" si="2"/>
        <v xml:space="preserve">地勤帽DM-3 </v>
      </c>
      <c r="F117" s="41">
        <v>4</v>
      </c>
      <c r="G117" s="9" t="s">
        <v>977</v>
      </c>
      <c r="H117" s="32" t="s">
        <v>117</v>
      </c>
      <c r="I117" s="35" t="str">
        <f>VLOOKUP(H117,保障组织结构树!C:E,3,0)</f>
        <v>z19</v>
      </c>
    </row>
    <row r="118" spans="1:9" ht="16">
      <c r="A118" s="32">
        <v>117</v>
      </c>
      <c r="B118" s="17" t="s">
        <v>976</v>
      </c>
      <c r="D118" s="42" t="str">
        <f t="shared" si="2"/>
        <v>供氧车</v>
      </c>
      <c r="F118" s="41">
        <v>4</v>
      </c>
      <c r="G118" s="9" t="s">
        <v>969</v>
      </c>
      <c r="H118" s="32" t="s">
        <v>117</v>
      </c>
      <c r="I118" s="35" t="str">
        <f>VLOOKUP(H118,保障组织结构树!C:E,3,0)</f>
        <v>z19</v>
      </c>
    </row>
    <row r="119" spans="1:9" ht="16">
      <c r="A119" s="32">
        <v>118</v>
      </c>
      <c r="B119" s="17" t="s">
        <v>928</v>
      </c>
      <c r="D119" s="42" t="str">
        <f t="shared" si="2"/>
        <v>891时间同步仪</v>
      </c>
      <c r="F119" s="41">
        <v>4</v>
      </c>
      <c r="G119" s="9" t="s">
        <v>977</v>
      </c>
      <c r="H119" s="32" t="s">
        <v>117</v>
      </c>
      <c r="I119" s="35" t="str">
        <f>VLOOKUP(H119,保障组织结构树!C:E,3,0)</f>
        <v>z19</v>
      </c>
    </row>
    <row r="120" spans="1:9" ht="16">
      <c r="A120" s="32">
        <v>119</v>
      </c>
      <c r="B120" s="17" t="s">
        <v>973</v>
      </c>
      <c r="D120" s="42" t="str">
        <f t="shared" si="2"/>
        <v>装退弹工具</v>
      </c>
      <c r="F120" s="41">
        <v>4</v>
      </c>
      <c r="G120" s="9" t="s">
        <v>977</v>
      </c>
      <c r="H120" s="32" t="s">
        <v>117</v>
      </c>
      <c r="I120" s="35" t="str">
        <f>VLOOKUP(H120,保障组织结构树!C:E,3,0)</f>
        <v>z19</v>
      </c>
    </row>
    <row r="121" spans="1:9">
      <c r="B121" s="15"/>
    </row>
    <row r="122" spans="1:9">
      <c r="B122" s="1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DD0B52B-D3DD-4148-A7F2-9515164E532A}">
          <x14:formula1>
            <xm:f>保障组织结构树!$C:$C</xm:f>
          </x14:formula1>
          <xm:sqref>H2:H1048576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0"/>
  <sheetViews>
    <sheetView zoomScale="178" workbookViewId="0">
      <selection activeCell="A2" sqref="A2:A20"/>
    </sheetView>
  </sheetViews>
  <sheetFormatPr baseColWidth="10" defaultColWidth="9.5" defaultRowHeight="15"/>
  <cols>
    <col min="1" max="1" width="15.5" customWidth="1"/>
    <col min="2" max="2" width="25" customWidth="1"/>
    <col min="3" max="3" width="10" customWidth="1"/>
  </cols>
  <sheetData>
    <row r="1" spans="1:3" ht="16">
      <c r="A1" s="4" t="s">
        <v>577</v>
      </c>
      <c r="B1" s="1" t="s">
        <v>240</v>
      </c>
      <c r="C1" s="1" t="s">
        <v>242</v>
      </c>
    </row>
    <row r="2" spans="1:3" ht="16">
      <c r="A2" s="2" t="s">
        <v>44</v>
      </c>
      <c r="B2" s="2" t="s">
        <v>43</v>
      </c>
      <c r="C2" s="2">
        <v>5</v>
      </c>
    </row>
    <row r="3" spans="1:3" ht="16">
      <c r="A3" s="2" t="s">
        <v>46</v>
      </c>
      <c r="B3" s="2" t="s">
        <v>45</v>
      </c>
      <c r="C3" s="2">
        <v>5</v>
      </c>
    </row>
    <row r="4" spans="1:3" ht="16">
      <c r="A4" s="2" t="s">
        <v>48</v>
      </c>
      <c r="B4" s="2" t="s">
        <v>47</v>
      </c>
      <c r="C4" s="2">
        <v>5</v>
      </c>
    </row>
    <row r="5" spans="1:3" ht="16">
      <c r="A5" s="2" t="s">
        <v>52</v>
      </c>
      <c r="B5" s="2" t="s">
        <v>51</v>
      </c>
      <c r="C5" s="2">
        <v>5</v>
      </c>
    </row>
    <row r="6" spans="1:3" ht="16">
      <c r="A6" s="2" t="s">
        <v>54</v>
      </c>
      <c r="B6" s="2" t="s">
        <v>53</v>
      </c>
      <c r="C6" s="2">
        <v>5</v>
      </c>
    </row>
    <row r="7" spans="1:3" ht="16">
      <c r="A7" s="2" t="s">
        <v>58</v>
      </c>
      <c r="B7" s="2" t="s">
        <v>57</v>
      </c>
      <c r="C7" s="2">
        <v>5</v>
      </c>
    </row>
    <row r="8" spans="1:3" ht="16">
      <c r="A8" s="2" t="s">
        <v>60</v>
      </c>
      <c r="B8" s="2" t="s">
        <v>59</v>
      </c>
      <c r="C8" s="2">
        <v>5</v>
      </c>
    </row>
    <row r="9" spans="1:3" ht="16">
      <c r="A9" s="2" t="s">
        <v>64</v>
      </c>
      <c r="B9" s="2" t="s">
        <v>63</v>
      </c>
      <c r="C9" s="2">
        <v>5</v>
      </c>
    </row>
    <row r="10" spans="1:3" ht="16">
      <c r="A10" s="2" t="s">
        <v>66</v>
      </c>
      <c r="B10" s="2" t="s">
        <v>65</v>
      </c>
      <c r="C10" s="2">
        <v>5</v>
      </c>
    </row>
    <row r="11" spans="1:3" ht="16">
      <c r="A11" s="2" t="s">
        <v>70</v>
      </c>
      <c r="B11" s="2" t="s">
        <v>69</v>
      </c>
      <c r="C11" s="2">
        <v>5</v>
      </c>
    </row>
    <row r="12" spans="1:3" ht="16">
      <c r="A12" s="2" t="s">
        <v>72</v>
      </c>
      <c r="B12" s="2" t="s">
        <v>71</v>
      </c>
      <c r="C12" s="2">
        <v>5</v>
      </c>
    </row>
    <row r="13" spans="1:3" ht="16">
      <c r="A13" s="2" t="s">
        <v>76</v>
      </c>
      <c r="B13" s="2" t="s">
        <v>75</v>
      </c>
      <c r="C13" s="2">
        <v>5</v>
      </c>
    </row>
    <row r="14" spans="1:3" ht="16">
      <c r="A14" s="2" t="s">
        <v>78</v>
      </c>
      <c r="B14" s="2" t="s">
        <v>77</v>
      </c>
      <c r="C14" s="2">
        <v>5</v>
      </c>
    </row>
    <row r="15" spans="1:3" ht="16">
      <c r="A15" s="2" t="s">
        <v>82</v>
      </c>
      <c r="B15" s="2" t="s">
        <v>81</v>
      </c>
      <c r="C15" s="2">
        <v>5</v>
      </c>
    </row>
    <row r="16" spans="1:3" ht="16">
      <c r="A16" s="2" t="s">
        <v>84</v>
      </c>
      <c r="B16" s="2" t="s">
        <v>83</v>
      </c>
      <c r="C16" s="2">
        <v>5</v>
      </c>
    </row>
    <row r="17" spans="1:3" ht="16">
      <c r="A17" s="2" t="s">
        <v>88</v>
      </c>
      <c r="B17" s="2" t="s">
        <v>87</v>
      </c>
      <c r="C17" s="2">
        <v>5</v>
      </c>
    </row>
    <row r="18" spans="1:3" ht="16">
      <c r="A18" s="2" t="s">
        <v>90</v>
      </c>
      <c r="B18" s="2" t="s">
        <v>89</v>
      </c>
      <c r="C18" s="2">
        <v>5</v>
      </c>
    </row>
    <row r="19" spans="1:3" ht="16">
      <c r="A19" s="2" t="s">
        <v>94</v>
      </c>
      <c r="B19" s="2" t="s">
        <v>93</v>
      </c>
      <c r="C19" s="2">
        <v>5</v>
      </c>
    </row>
    <row r="20" spans="1:3" ht="16">
      <c r="A20" s="2" t="s">
        <v>96</v>
      </c>
      <c r="B20" s="2" t="s">
        <v>95</v>
      </c>
      <c r="C20" s="2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9"/>
  <sheetViews>
    <sheetView zoomScale="161" workbookViewId="0">
      <selection activeCell="C4" sqref="C4"/>
    </sheetView>
  </sheetViews>
  <sheetFormatPr baseColWidth="10" defaultColWidth="9.5" defaultRowHeight="15"/>
  <cols>
    <col min="1" max="1" width="27" customWidth="1"/>
    <col min="2" max="3" width="10" customWidth="1"/>
  </cols>
  <sheetData>
    <row r="1" spans="1:3" ht="16">
      <c r="A1" s="1" t="s">
        <v>240</v>
      </c>
      <c r="B1" s="1" t="s">
        <v>29</v>
      </c>
      <c r="C1" s="1" t="s">
        <v>242</v>
      </c>
    </row>
    <row r="2" spans="1:3" ht="16">
      <c r="A2" s="3" t="s">
        <v>621</v>
      </c>
      <c r="B2" s="2" t="s">
        <v>246</v>
      </c>
      <c r="C2" s="2">
        <v>1000</v>
      </c>
    </row>
    <row r="3" spans="1:3" ht="16">
      <c r="A3" s="9" t="s">
        <v>622</v>
      </c>
      <c r="B3" s="3" t="s">
        <v>623</v>
      </c>
      <c r="C3">
        <v>1000</v>
      </c>
    </row>
    <row r="4" spans="1:3" ht="16">
      <c r="A4" s="2" t="s">
        <v>1177</v>
      </c>
      <c r="C4">
        <v>1000</v>
      </c>
    </row>
    <row r="5" spans="1:3">
      <c r="A5" s="50" t="s">
        <v>1180</v>
      </c>
      <c r="C5">
        <v>1000</v>
      </c>
    </row>
    <row r="6" spans="1:3">
      <c r="A6" s="50" t="s">
        <v>1178</v>
      </c>
      <c r="C6">
        <v>1000</v>
      </c>
    </row>
    <row r="7" spans="1:3">
      <c r="A7" s="50" t="s">
        <v>1179</v>
      </c>
      <c r="C7">
        <v>1000</v>
      </c>
    </row>
    <row r="8" spans="1:3">
      <c r="A8" s="50" t="s">
        <v>1181</v>
      </c>
      <c r="C8">
        <v>1000</v>
      </c>
    </row>
    <row r="9" spans="1:3">
      <c r="A9" t="s">
        <v>1182</v>
      </c>
      <c r="C9">
        <v>1000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BA83-3E4C-8C4E-A577-972D6681F781}">
  <dimension ref="A1:E13"/>
  <sheetViews>
    <sheetView zoomScale="175" workbookViewId="0">
      <selection activeCell="B8" sqref="B8:B10"/>
    </sheetView>
  </sheetViews>
  <sheetFormatPr baseColWidth="10" defaultRowHeight="15"/>
  <cols>
    <col min="1" max="1" width="16.6640625" customWidth="1"/>
    <col min="2" max="2" width="17.83203125" customWidth="1"/>
  </cols>
  <sheetData>
    <row r="1" spans="1:5" ht="32">
      <c r="A1" s="4" t="s">
        <v>635</v>
      </c>
      <c r="B1" s="4" t="s">
        <v>636</v>
      </c>
      <c r="C1" s="1" t="s">
        <v>291</v>
      </c>
      <c r="D1" s="1" t="s">
        <v>248</v>
      </c>
      <c r="E1" s="1" t="s">
        <v>249</v>
      </c>
    </row>
    <row r="2" spans="1:5" ht="16">
      <c r="A2" t="s">
        <v>368</v>
      </c>
      <c r="B2" s="2" t="s">
        <v>369</v>
      </c>
      <c r="C2" s="2" t="s">
        <v>372</v>
      </c>
      <c r="D2" s="2">
        <v>130</v>
      </c>
      <c r="E2" s="2" t="s">
        <v>365</v>
      </c>
    </row>
    <row r="3" spans="1:5" ht="16">
      <c r="A3" t="s">
        <v>368</v>
      </c>
      <c r="B3" s="2" t="s">
        <v>370</v>
      </c>
      <c r="C3" s="2" t="s">
        <v>373</v>
      </c>
      <c r="D3" s="2">
        <v>30</v>
      </c>
      <c r="E3" s="2" t="s">
        <v>365</v>
      </c>
    </row>
    <row r="4" spans="1:5" ht="16">
      <c r="A4" t="s">
        <v>368</v>
      </c>
      <c r="B4" s="2" t="s">
        <v>371</v>
      </c>
      <c r="C4" s="2" t="s">
        <v>374</v>
      </c>
      <c r="D4" s="2">
        <v>110</v>
      </c>
      <c r="E4" s="2" t="s">
        <v>365</v>
      </c>
    </row>
    <row r="5" spans="1:5" ht="16">
      <c r="A5" t="s">
        <v>366</v>
      </c>
      <c r="B5" s="3" t="s">
        <v>625</v>
      </c>
      <c r="C5" s="2" t="s">
        <v>372</v>
      </c>
      <c r="D5" s="2">
        <v>130</v>
      </c>
      <c r="E5" s="2" t="s">
        <v>365</v>
      </c>
    </row>
    <row r="6" spans="1:5" ht="16">
      <c r="A6" t="s">
        <v>366</v>
      </c>
      <c r="B6" s="2" t="s">
        <v>627</v>
      </c>
      <c r="C6" s="2" t="s">
        <v>373</v>
      </c>
      <c r="D6" s="2">
        <v>30</v>
      </c>
      <c r="E6" s="2" t="s">
        <v>365</v>
      </c>
    </row>
    <row r="7" spans="1:5" ht="16">
      <c r="A7" t="s">
        <v>366</v>
      </c>
      <c r="B7" s="2" t="s">
        <v>626</v>
      </c>
      <c r="C7" s="2" t="s">
        <v>374</v>
      </c>
      <c r="D7" s="2">
        <v>110</v>
      </c>
      <c r="E7" s="2" t="s">
        <v>365</v>
      </c>
    </row>
    <row r="8" spans="1:5" ht="16">
      <c r="A8" t="s">
        <v>367</v>
      </c>
      <c r="B8" s="2" t="s">
        <v>628</v>
      </c>
      <c r="C8" s="2" t="s">
        <v>372</v>
      </c>
      <c r="D8" s="2">
        <v>130</v>
      </c>
      <c r="E8" s="2" t="s">
        <v>365</v>
      </c>
    </row>
    <row r="9" spans="1:5" ht="16">
      <c r="A9" t="s">
        <v>367</v>
      </c>
      <c r="B9" s="2" t="s">
        <v>630</v>
      </c>
      <c r="C9" s="2" t="s">
        <v>373</v>
      </c>
      <c r="D9" s="2">
        <v>30</v>
      </c>
      <c r="E9" s="2" t="s">
        <v>365</v>
      </c>
    </row>
    <row r="10" spans="1:5" ht="16">
      <c r="A10" t="s">
        <v>367</v>
      </c>
      <c r="B10" s="2" t="s">
        <v>629</v>
      </c>
      <c r="C10" s="2" t="s">
        <v>374</v>
      </c>
      <c r="D10" s="2">
        <v>110</v>
      </c>
      <c r="E10" s="2" t="s">
        <v>365</v>
      </c>
    </row>
    <row r="11" spans="1:5" ht="16">
      <c r="A11" t="s">
        <v>631</v>
      </c>
      <c r="B11" s="2" t="s">
        <v>633</v>
      </c>
      <c r="C11" s="2" t="s">
        <v>372</v>
      </c>
      <c r="D11" s="2">
        <v>130</v>
      </c>
      <c r="E11" s="2" t="s">
        <v>365</v>
      </c>
    </row>
    <row r="12" spans="1:5" ht="16">
      <c r="A12" t="s">
        <v>631</v>
      </c>
      <c r="B12" s="2" t="s">
        <v>632</v>
      </c>
      <c r="C12" s="2" t="s">
        <v>373</v>
      </c>
      <c r="D12" s="2">
        <v>30</v>
      </c>
      <c r="E12" s="2" t="s">
        <v>365</v>
      </c>
    </row>
    <row r="13" spans="1:5" ht="16">
      <c r="A13" t="s">
        <v>631</v>
      </c>
      <c r="B13" s="2" t="s">
        <v>634</v>
      </c>
      <c r="C13" s="2" t="s">
        <v>374</v>
      </c>
      <c r="D13" s="2">
        <v>110</v>
      </c>
      <c r="E13" s="2" t="s">
        <v>365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71"/>
  <sheetViews>
    <sheetView tabSelected="1" zoomScale="135" zoomScaleNormal="135" workbookViewId="0">
      <selection activeCell="E7" sqref="E7:E22"/>
    </sheetView>
  </sheetViews>
  <sheetFormatPr baseColWidth="10" defaultColWidth="9.5" defaultRowHeight="15"/>
  <cols>
    <col min="2" max="2" width="18.1640625" customWidth="1"/>
    <col min="3" max="3" width="11" customWidth="1"/>
    <col min="4" max="4" width="47.33203125" customWidth="1"/>
    <col min="5" max="5" width="14.33203125" customWidth="1"/>
    <col min="6" max="6" width="11" customWidth="1"/>
  </cols>
  <sheetData>
    <row r="1" spans="1:6" ht="16">
      <c r="A1" s="4" t="s">
        <v>97</v>
      </c>
      <c r="B1" s="4" t="s">
        <v>636</v>
      </c>
      <c r="C1" s="4" t="s">
        <v>637</v>
      </c>
      <c r="D1" s="1" t="s">
        <v>250</v>
      </c>
      <c r="E1" s="4" t="s">
        <v>624</v>
      </c>
      <c r="F1" s="1" t="s">
        <v>252</v>
      </c>
    </row>
    <row r="2" spans="1:6" ht="16">
      <c r="A2" s="9" t="s">
        <v>340</v>
      </c>
      <c r="B2" s="2" t="s">
        <v>369</v>
      </c>
      <c r="C2" s="2" t="s">
        <v>681</v>
      </c>
      <c r="D2" s="2" t="str">
        <f>VLOOKUP(使用保障活动清单!C2,基本保障活动列表库!C:D,2,0)</f>
        <v>F15-写卡</v>
      </c>
      <c r="E2" s="2"/>
      <c r="F2" s="2">
        <f>VLOOKUP(C2,基本保障活动列表库!C:E,3,0)</f>
        <v>15</v>
      </c>
    </row>
    <row r="3" spans="1:6" ht="16">
      <c r="A3" s="9" t="s">
        <v>340</v>
      </c>
      <c r="B3" s="2" t="s">
        <v>369</v>
      </c>
      <c r="C3" s="2" t="s">
        <v>682</v>
      </c>
      <c r="D3" s="2" t="str">
        <f>VLOOKUP(使用保障活动清单!C3,基本保障活动列表库!C:D,2,0)</f>
        <v>F15-外观检查</v>
      </c>
      <c r="E3" s="2" t="str">
        <f>C2</f>
        <v>j42</v>
      </c>
      <c r="F3" s="2">
        <f>VLOOKUP(C3,基本保障活动列表库!C:E,3,0)</f>
        <v>30</v>
      </c>
    </row>
    <row r="4" spans="1:6" ht="16">
      <c r="A4" s="9" t="s">
        <v>340</v>
      </c>
      <c r="B4" s="2" t="s">
        <v>369</v>
      </c>
      <c r="C4" s="2" t="s">
        <v>683</v>
      </c>
      <c r="D4" s="2" t="str">
        <f>VLOOKUP(使用保障活动清单!C4,基本保障活动列表库!C:D,2,0)</f>
        <v>F15-接通空调</v>
      </c>
      <c r="E4" s="3" t="str">
        <f>C3</f>
        <v>j43</v>
      </c>
      <c r="F4" s="2">
        <f>VLOOKUP(C4,基本保障活动列表库!C:E,3,0)</f>
        <v>10</v>
      </c>
    </row>
    <row r="5" spans="1:6" ht="16">
      <c r="A5" s="9" t="s">
        <v>340</v>
      </c>
      <c r="B5" s="2" t="s">
        <v>369</v>
      </c>
      <c r="C5" s="2" t="s">
        <v>684</v>
      </c>
      <c r="D5" s="2" t="str">
        <f>VLOOKUP(使用保障活动清单!C5,基本保障活动列表库!C:D,2,0)</f>
        <v>F15-装干扰弹</v>
      </c>
      <c r="E5" s="2" t="s">
        <v>682</v>
      </c>
      <c r="F5" s="2">
        <f>VLOOKUP(C5,基本保障活动列表库!C:E,3,0)</f>
        <v>10</v>
      </c>
    </row>
    <row r="6" spans="1:6" ht="16">
      <c r="A6" s="9" t="s">
        <v>340</v>
      </c>
      <c r="B6" s="2" t="s">
        <v>369</v>
      </c>
      <c r="C6" s="2" t="s">
        <v>685</v>
      </c>
      <c r="D6" s="2" t="str">
        <f>VLOOKUP(使用保障活动清单!C6,基本保障活动列表库!C:D,2,0)</f>
        <v>F15-挂弹</v>
      </c>
      <c r="E6" s="2" t="str">
        <f>C5</f>
        <v>j45</v>
      </c>
      <c r="F6" s="2">
        <f>VLOOKUP(C6,基本保障活动列表库!C:E,3,0)</f>
        <v>60</v>
      </c>
    </row>
    <row r="7" spans="1:6" ht="16">
      <c r="A7" s="9" t="s">
        <v>340</v>
      </c>
      <c r="B7" s="2" t="s">
        <v>369</v>
      </c>
      <c r="C7" s="2" t="s">
        <v>686</v>
      </c>
      <c r="D7" s="2" t="str">
        <f>VLOOKUP(使用保障活动清单!C7,基本保障活动列表库!C:D,2,0)</f>
        <v>F15-接通电缆</v>
      </c>
      <c r="E7" s="2" t="str">
        <f t="shared" ref="E7:E22" si="0">C6</f>
        <v>j46</v>
      </c>
      <c r="F7" s="2">
        <f>VLOOKUP(C7,基本保障活动列表库!C:E,3,0)</f>
        <v>2</v>
      </c>
    </row>
    <row r="8" spans="1:6" ht="16">
      <c r="A8" s="9" t="s">
        <v>340</v>
      </c>
      <c r="B8" s="2" t="s">
        <v>369</v>
      </c>
      <c r="C8" s="2" t="s">
        <v>687</v>
      </c>
      <c r="D8" s="2" t="str">
        <f>VLOOKUP(使用保障活动清单!C8,基本保障活动列表库!C:D,2,0)</f>
        <v>F15-加载数据</v>
      </c>
      <c r="E8" s="2" t="str">
        <f t="shared" si="0"/>
        <v>j47</v>
      </c>
      <c r="F8" s="2">
        <f>VLOOKUP(C8,基本保障活动列表库!C:E,3,0)</f>
        <v>10</v>
      </c>
    </row>
    <row r="9" spans="1:6" ht="16">
      <c r="A9" s="9" t="s">
        <v>340</v>
      </c>
      <c r="B9" s="2" t="s">
        <v>369</v>
      </c>
      <c r="C9" s="2" t="s">
        <v>688</v>
      </c>
      <c r="D9" s="2" t="str">
        <f>VLOOKUP(使用保障活动清单!C9,基本保障活动列表库!C:D,2,0)</f>
        <v>F15-通电</v>
      </c>
      <c r="E9" s="2" t="str">
        <f t="shared" si="0"/>
        <v>j48</v>
      </c>
      <c r="F9" s="2">
        <f>VLOOKUP(C9,基本保障活动列表库!C:E,3,0)</f>
        <v>20</v>
      </c>
    </row>
    <row r="10" spans="1:6" ht="16">
      <c r="A10" s="9" t="s">
        <v>340</v>
      </c>
      <c r="B10" s="2" t="s">
        <v>369</v>
      </c>
      <c r="C10" s="2" t="s">
        <v>689</v>
      </c>
      <c r="D10" s="2" t="str">
        <f>VLOOKUP(使用保障活动清单!C10,基本保障活动列表库!C:D,2,0)</f>
        <v>F15-挂载武器通电</v>
      </c>
      <c r="E10" s="2" t="str">
        <f t="shared" si="0"/>
        <v>j49</v>
      </c>
      <c r="F10" s="2">
        <f>VLOOKUP(C10,基本保障活动列表库!C:E,3,0)</f>
        <v>10</v>
      </c>
    </row>
    <row r="11" spans="1:6" ht="16">
      <c r="A11" s="9" t="s">
        <v>340</v>
      </c>
      <c r="B11" s="2" t="s">
        <v>369</v>
      </c>
      <c r="C11" s="2" t="s">
        <v>690</v>
      </c>
      <c r="D11" s="2" t="str">
        <f>VLOOKUP(使用保障活动清单!C11,基本保障活动列表库!C:D,2,0)</f>
        <v>F15-氧气充填</v>
      </c>
      <c r="E11" s="2" t="str">
        <f t="shared" si="0"/>
        <v>j50</v>
      </c>
      <c r="F11" s="2">
        <f>VLOOKUP(C11,基本保障活动列表库!C:E,3,0)</f>
        <v>5</v>
      </c>
    </row>
    <row r="12" spans="1:6" ht="16">
      <c r="A12" s="9" t="s">
        <v>340</v>
      </c>
      <c r="B12" s="2" t="s">
        <v>369</v>
      </c>
      <c r="C12" s="2" t="s">
        <v>691</v>
      </c>
      <c r="D12" s="2" t="str">
        <f>VLOOKUP(使用保障活动清单!C12,基本保障活动列表库!C:D,2,0)</f>
        <v>F15-氮气充填</v>
      </c>
      <c r="E12" s="2" t="str">
        <f t="shared" si="0"/>
        <v>j51</v>
      </c>
      <c r="F12" s="2">
        <f>VLOOKUP(C12,基本保障活动列表库!C:E,3,0)</f>
        <v>5</v>
      </c>
    </row>
    <row r="13" spans="1:6" ht="16">
      <c r="A13" s="9" t="s">
        <v>340</v>
      </c>
      <c r="B13" s="2" t="s">
        <v>369</v>
      </c>
      <c r="C13" s="2" t="s">
        <v>692</v>
      </c>
      <c r="D13" s="2" t="str">
        <f>VLOOKUP(使用保障活动清单!C13,基本保障活动列表库!C:D,2,0)</f>
        <v>F15-燃油充填</v>
      </c>
      <c r="E13" s="2" t="str">
        <f t="shared" si="0"/>
        <v>j52</v>
      </c>
      <c r="F13" s="2">
        <f>VLOOKUP(C13,基本保障活动列表库!C:E,3,0)</f>
        <v>10</v>
      </c>
    </row>
    <row r="14" spans="1:6" ht="16">
      <c r="A14" s="9" t="s">
        <v>340</v>
      </c>
      <c r="B14" s="2" t="s">
        <v>369</v>
      </c>
      <c r="C14" s="2" t="s">
        <v>693</v>
      </c>
      <c r="D14" s="2" t="str">
        <f>VLOOKUP(使用保障活动清单!C14,基本保障活动列表库!C:D,2,0)</f>
        <v>F15-滑油检查</v>
      </c>
      <c r="E14" s="2" t="str">
        <f t="shared" si="0"/>
        <v>j53</v>
      </c>
      <c r="F14" s="2">
        <f>VLOOKUP(C14,基本保障活动列表库!C:E,3,0)</f>
        <v>5</v>
      </c>
    </row>
    <row r="15" spans="1:6" ht="16">
      <c r="A15" s="9" t="s">
        <v>340</v>
      </c>
      <c r="B15" s="2" t="s">
        <v>369</v>
      </c>
      <c r="C15" s="2" t="s">
        <v>694</v>
      </c>
      <c r="D15" s="2" t="str">
        <f>VLOOKUP(使用保障活动清单!C15,基本保障活动列表库!C:D,2,0)</f>
        <v>F15-流道检查</v>
      </c>
      <c r="E15" s="2" t="str">
        <f t="shared" si="0"/>
        <v>j54</v>
      </c>
      <c r="F15" s="2">
        <f>VLOOKUP(C15,基本保障活动列表库!C:E,3,0)</f>
        <v>5</v>
      </c>
    </row>
    <row r="16" spans="1:6" ht="16">
      <c r="A16" s="9" t="s">
        <v>340</v>
      </c>
      <c r="B16" s="2" t="s">
        <v>369</v>
      </c>
      <c r="C16" s="2" t="s">
        <v>695</v>
      </c>
      <c r="D16" s="2" t="str">
        <f>VLOOKUP(使用保障活动清单!C16,基本保障活动列表库!C:D,2,0)</f>
        <v>F15-暖机电传</v>
      </c>
      <c r="E16" s="2" t="str">
        <f t="shared" si="0"/>
        <v>j55</v>
      </c>
      <c r="F16" s="2">
        <f>VLOOKUP(C16,基本保障活动列表库!C:E,3,0)</f>
        <v>15</v>
      </c>
    </row>
    <row r="17" spans="1:6" ht="16">
      <c r="A17" s="9" t="s">
        <v>340</v>
      </c>
      <c r="B17" s="2" t="s">
        <v>369</v>
      </c>
      <c r="C17" s="2" t="s">
        <v>696</v>
      </c>
      <c r="D17" s="2" t="str">
        <f>VLOOKUP(使用保障活动清单!C17,基本保障活动列表库!C:D,2,0)</f>
        <v>F15-拔座舱内保险</v>
      </c>
      <c r="E17" s="2" t="str">
        <f t="shared" si="0"/>
        <v>j56</v>
      </c>
      <c r="F17" s="2">
        <f>VLOOKUP(C17,基本保障活动列表库!C:E,3,0)</f>
        <v>1</v>
      </c>
    </row>
    <row r="18" spans="1:6" ht="16">
      <c r="A18" s="9" t="s">
        <v>340</v>
      </c>
      <c r="B18" s="2" t="s">
        <v>369</v>
      </c>
      <c r="C18" s="2" t="s">
        <v>697</v>
      </c>
      <c r="D18" s="2" t="str">
        <f>VLOOKUP(使用保障活动清单!C18,基本保障活动列表库!C:D,2,0)</f>
        <v>F15-拔起落架下位锁保险销</v>
      </c>
      <c r="E18" s="2" t="str">
        <f t="shared" si="0"/>
        <v>j57</v>
      </c>
      <c r="F18" s="2">
        <f>VLOOKUP(C18,基本保障活动列表库!C:E,3,0)</f>
        <v>1</v>
      </c>
    </row>
    <row r="19" spans="1:6" ht="16">
      <c r="A19" s="9" t="s">
        <v>340</v>
      </c>
      <c r="B19" s="2" t="s">
        <v>369</v>
      </c>
      <c r="C19" s="2" t="s">
        <v>698</v>
      </c>
      <c r="D19" s="2" t="str">
        <f>VLOOKUP(使用保障活动清单!C19,基本保障活动列表库!C:D,2,0)</f>
        <v>F15-惯导</v>
      </c>
      <c r="E19" s="2" t="str">
        <f t="shared" si="0"/>
        <v>j58</v>
      </c>
      <c r="F19" s="2">
        <f>VLOOKUP(C19,基本保障活动列表库!C:E,3,0)</f>
        <v>15</v>
      </c>
    </row>
    <row r="20" spans="1:6" ht="16" customHeight="1">
      <c r="A20" s="9" t="s">
        <v>340</v>
      </c>
      <c r="B20" s="2" t="s">
        <v>369</v>
      </c>
      <c r="C20" s="2" t="s">
        <v>699</v>
      </c>
      <c r="D20" s="2" t="str">
        <f>VLOOKUP(使用保障活动清单!C20,基本保障活动列表库!C:D,2,0)</f>
        <v>F15-拔水上漂浮记录器保险</v>
      </c>
      <c r="E20" s="2" t="str">
        <f t="shared" si="0"/>
        <v>j59</v>
      </c>
      <c r="F20" s="2">
        <f>VLOOKUP(C20,基本保障活动列表库!C:E,3,0)</f>
        <v>2</v>
      </c>
    </row>
    <row r="21" spans="1:6" ht="16">
      <c r="A21" s="9" t="s">
        <v>340</v>
      </c>
      <c r="B21" s="2" t="s">
        <v>369</v>
      </c>
      <c r="C21" s="2" t="s">
        <v>700</v>
      </c>
      <c r="D21" s="2" t="str">
        <f>VLOOKUP(使用保障活动清单!C21,基本保障活动列表库!C:D,2,0)</f>
        <v>F15-文件填写</v>
      </c>
      <c r="E21" s="2" t="str">
        <f t="shared" si="0"/>
        <v>j60</v>
      </c>
      <c r="F21" s="2">
        <f>VLOOKUP(C21,基本保障活动列表库!C:E,3,0)</f>
        <v>5</v>
      </c>
    </row>
    <row r="22" spans="1:6" ht="16">
      <c r="A22" s="9" t="s">
        <v>340</v>
      </c>
      <c r="B22" s="2" t="s">
        <v>369</v>
      </c>
      <c r="C22" s="2" t="s">
        <v>701</v>
      </c>
      <c r="D22" s="2" t="str">
        <f>VLOOKUP(使用保障活动清单!C22,基本保障活动列表库!C:D,2,0)</f>
        <v>F15-清点工用具</v>
      </c>
      <c r="E22" s="2" t="str">
        <f t="shared" si="0"/>
        <v>j61</v>
      </c>
      <c r="F22" s="2">
        <f>VLOOKUP(C22,基本保障活动列表库!C:E,3,0)</f>
        <v>3</v>
      </c>
    </row>
    <row r="23" spans="1:6" ht="16">
      <c r="A23" s="9" t="s">
        <v>340</v>
      </c>
      <c r="B23" s="2" t="s">
        <v>370</v>
      </c>
      <c r="C23" s="2" t="s">
        <v>682</v>
      </c>
      <c r="D23" s="2" t="str">
        <f>VLOOKUP(使用保障活动清单!C23,基本保障活动列表库!C:D,2,0)</f>
        <v>F15-外观检查</v>
      </c>
      <c r="E23" s="2"/>
      <c r="F23" s="2">
        <f>VLOOKUP(C23,基本保障活动列表库!C:E,3,0)</f>
        <v>30</v>
      </c>
    </row>
    <row r="24" spans="1:6" ht="16">
      <c r="A24" s="9" t="s">
        <v>340</v>
      </c>
      <c r="B24" s="2" t="s">
        <v>370</v>
      </c>
      <c r="C24" s="2" t="s">
        <v>683</v>
      </c>
      <c r="D24" s="2" t="str">
        <f>VLOOKUP(使用保障活动清单!C24,基本保障活动列表库!C:D,2,0)</f>
        <v>F15-接通空调</v>
      </c>
      <c r="E24" s="2" t="s">
        <v>682</v>
      </c>
      <c r="F24" s="2">
        <f>VLOOKUP(C24,基本保障活动列表库!C:E,3,0)</f>
        <v>10</v>
      </c>
    </row>
    <row r="25" spans="1:6" ht="16">
      <c r="A25" s="9" t="s">
        <v>340</v>
      </c>
      <c r="B25" s="2" t="s">
        <v>370</v>
      </c>
      <c r="C25" s="2" t="s">
        <v>681</v>
      </c>
      <c r="D25" s="2" t="str">
        <f>VLOOKUP(使用保障活动清单!C25,基本保障活动列表库!C:D,2,0)</f>
        <v>F15-写卡</v>
      </c>
      <c r="E25" s="2" t="s">
        <v>682</v>
      </c>
      <c r="F25" s="2">
        <f>VLOOKUP(C25,基本保障活动列表库!C:E,3,0)</f>
        <v>15</v>
      </c>
    </row>
    <row r="26" spans="1:6" ht="16">
      <c r="A26" s="9" t="s">
        <v>340</v>
      </c>
      <c r="B26" s="2" t="s">
        <v>370</v>
      </c>
      <c r="C26" s="2" t="s">
        <v>687</v>
      </c>
      <c r="D26" s="2" t="str">
        <f>VLOOKUP(使用保障活动清单!C26,基本保障活动列表库!C:D,2,0)</f>
        <v>F15-加载数据</v>
      </c>
      <c r="E26" s="2" t="s">
        <v>682</v>
      </c>
      <c r="F26" s="2">
        <f>VLOOKUP(C26,基本保障活动列表库!C:E,3,0)</f>
        <v>10</v>
      </c>
    </row>
    <row r="27" spans="1:6" ht="16">
      <c r="A27" s="9" t="s">
        <v>340</v>
      </c>
      <c r="B27" s="2" t="s">
        <v>370</v>
      </c>
      <c r="C27" s="2" t="s">
        <v>710</v>
      </c>
      <c r="D27" s="2" t="str">
        <f>VLOOKUP(使用保障活动清单!C27,基本保障活动列表库!C:D,2,0)</f>
        <v>F15-通电检查-再次</v>
      </c>
      <c r="E27" s="2" t="s">
        <v>682</v>
      </c>
      <c r="F27" s="2">
        <f>VLOOKUP(C27,基本保障活动列表库!C:E,3,0)</f>
        <v>20</v>
      </c>
    </row>
    <row r="28" spans="1:6" ht="16">
      <c r="A28" s="9" t="s">
        <v>340</v>
      </c>
      <c r="B28" s="2" t="s">
        <v>370</v>
      </c>
      <c r="C28" s="2" t="s">
        <v>696</v>
      </c>
      <c r="D28" s="2" t="str">
        <f>VLOOKUP(使用保障活动清单!C28,基本保障活动列表库!C:D,2,0)</f>
        <v>F15-拔座舱内保险</v>
      </c>
      <c r="E28" s="2" t="s">
        <v>682</v>
      </c>
      <c r="F28" s="2">
        <f>VLOOKUP(C28,基本保障活动列表库!C:E,3,0)</f>
        <v>1</v>
      </c>
    </row>
    <row r="29" spans="1:6" ht="16">
      <c r="A29" s="9" t="s">
        <v>340</v>
      </c>
      <c r="B29" s="2" t="s">
        <v>370</v>
      </c>
      <c r="C29" s="2" t="s">
        <v>711</v>
      </c>
      <c r="D29" s="2" t="str">
        <f>VLOOKUP(使用保障活动清单!C29,基本保障活动列表库!C:D,2,0)</f>
        <v>F15-座椅通电</v>
      </c>
      <c r="E29" s="2" t="s">
        <v>682</v>
      </c>
      <c r="F29" s="2">
        <f>VLOOKUP(C29,基本保障活动列表库!C:E,3,0)</f>
        <v>1</v>
      </c>
    </row>
    <row r="30" spans="1:6" ht="16">
      <c r="A30" s="9" t="s">
        <v>340</v>
      </c>
      <c r="B30" s="2" t="s">
        <v>370</v>
      </c>
      <c r="C30" s="2" t="s">
        <v>685</v>
      </c>
      <c r="D30" s="2" t="str">
        <f>VLOOKUP(使用保障活动清单!C30,基本保障活动列表库!C:D,2,0)</f>
        <v>F15-挂弹</v>
      </c>
      <c r="E30" s="2" t="s">
        <v>682</v>
      </c>
      <c r="F30" s="2">
        <f>VLOOKUP(C30,基本保障活动列表库!C:E,3,0)</f>
        <v>60</v>
      </c>
    </row>
    <row r="31" spans="1:6" ht="16">
      <c r="A31" s="9" t="s">
        <v>340</v>
      </c>
      <c r="B31" s="2" t="s">
        <v>370</v>
      </c>
      <c r="C31" s="2" t="s">
        <v>689</v>
      </c>
      <c r="D31" s="2" t="str">
        <f>VLOOKUP(使用保障活动清单!C31,基本保障活动列表库!C:D,2,0)</f>
        <v>F15-挂载武器通电</v>
      </c>
      <c r="E31" s="2" t="s">
        <v>682</v>
      </c>
      <c r="F31" s="2">
        <f>VLOOKUP(C31,基本保障活动列表库!C:E,3,0)</f>
        <v>10</v>
      </c>
    </row>
    <row r="32" spans="1:6" ht="16">
      <c r="A32" s="9" t="s">
        <v>340</v>
      </c>
      <c r="B32" s="2" t="s">
        <v>370</v>
      </c>
      <c r="C32" s="2" t="s">
        <v>686</v>
      </c>
      <c r="D32" s="2" t="str">
        <f>VLOOKUP(使用保障活动清单!C32,基本保障活动列表库!C:D,2,0)</f>
        <v>F15-接通电缆</v>
      </c>
      <c r="E32" s="2" t="s">
        <v>682</v>
      </c>
      <c r="F32" s="2">
        <f>VLOOKUP(C32,基本保障活动列表库!C:E,3,0)</f>
        <v>2</v>
      </c>
    </row>
    <row r="33" spans="1:6" ht="16">
      <c r="A33" s="9" t="s">
        <v>340</v>
      </c>
      <c r="B33" s="2" t="s">
        <v>370</v>
      </c>
      <c r="C33" s="2" t="s">
        <v>690</v>
      </c>
      <c r="D33" s="2" t="str">
        <f>VLOOKUP(使用保障活动清单!C33,基本保障活动列表库!C:D,2,0)</f>
        <v>F15-氧气充填</v>
      </c>
      <c r="E33" s="2" t="s">
        <v>682</v>
      </c>
      <c r="F33" s="2">
        <f>VLOOKUP(C33,基本保障活动列表库!C:E,3,0)</f>
        <v>5</v>
      </c>
    </row>
    <row r="34" spans="1:6" ht="16">
      <c r="A34" s="9" t="s">
        <v>340</v>
      </c>
      <c r="B34" s="2" t="s">
        <v>370</v>
      </c>
      <c r="C34" s="2" t="s">
        <v>712</v>
      </c>
      <c r="D34" s="2" t="str">
        <f>VLOOKUP(使用保障活动清单!C34,基本保障活动列表库!C:D,2,0)</f>
        <v>F15-通电检查</v>
      </c>
      <c r="E34" s="2" t="s">
        <v>682</v>
      </c>
      <c r="F34" s="2">
        <f>VLOOKUP(C34,基本保障活动列表库!C:E,3,0)</f>
        <v>20</v>
      </c>
    </row>
    <row r="35" spans="1:6" ht="16">
      <c r="A35" s="9" t="s">
        <v>340</v>
      </c>
      <c r="B35" s="2" t="s">
        <v>370</v>
      </c>
      <c r="C35" s="2" t="s">
        <v>698</v>
      </c>
      <c r="D35" s="2" t="str">
        <f>VLOOKUP(使用保障活动清单!C35,基本保障活动列表库!C:D,2,0)</f>
        <v>F15-惯导</v>
      </c>
      <c r="E35" s="2" t="s">
        <v>682</v>
      </c>
      <c r="F35" s="2">
        <f>VLOOKUP(C35,基本保障活动列表库!C:E,3,0)</f>
        <v>15</v>
      </c>
    </row>
    <row r="36" spans="1:6" ht="16">
      <c r="A36" s="9" t="s">
        <v>340</v>
      </c>
      <c r="B36" s="2" t="s">
        <v>370</v>
      </c>
      <c r="C36" s="2" t="s">
        <v>699</v>
      </c>
      <c r="D36" s="2" t="str">
        <f>VLOOKUP(使用保障活动清单!C36,基本保障活动列表库!C:D,2,0)</f>
        <v>F15-拔水上漂浮记录器保险</v>
      </c>
      <c r="E36" s="2" t="s">
        <v>682</v>
      </c>
      <c r="F36" s="2">
        <f>VLOOKUP(C36,基本保障活动列表库!C:E,3,0)</f>
        <v>2</v>
      </c>
    </row>
    <row r="37" spans="1:6" ht="16">
      <c r="A37" s="9" t="s">
        <v>340</v>
      </c>
      <c r="B37" s="2" t="s">
        <v>370</v>
      </c>
      <c r="C37" s="2" t="s">
        <v>691</v>
      </c>
      <c r="D37" s="2" t="str">
        <f>VLOOKUP(使用保障活动清单!C37,基本保障活动列表库!C:D,2,0)</f>
        <v>F15-氮气充填</v>
      </c>
      <c r="E37" s="2" t="s">
        <v>682</v>
      </c>
      <c r="F37" s="2">
        <f>VLOOKUP(C37,基本保障活动列表库!C:E,3,0)</f>
        <v>5</v>
      </c>
    </row>
    <row r="38" spans="1:6" ht="16">
      <c r="A38" s="9" t="s">
        <v>340</v>
      </c>
      <c r="B38" s="2" t="s">
        <v>370</v>
      </c>
      <c r="C38" s="2" t="s">
        <v>692</v>
      </c>
      <c r="D38" s="2" t="str">
        <f>VLOOKUP(使用保障活动清单!C38,基本保障活动列表库!C:D,2,0)</f>
        <v>F15-燃油充填</v>
      </c>
      <c r="E38" s="2" t="s">
        <v>682</v>
      </c>
      <c r="F38" s="2">
        <f>VLOOKUP(C38,基本保障活动列表库!C:E,3,0)</f>
        <v>10</v>
      </c>
    </row>
    <row r="39" spans="1:6" ht="16">
      <c r="A39" s="9" t="s">
        <v>340</v>
      </c>
      <c r="B39" s="2" t="s">
        <v>370</v>
      </c>
      <c r="C39" s="2" t="s">
        <v>693</v>
      </c>
      <c r="D39" s="2" t="str">
        <f>VLOOKUP(使用保障活动清单!C39,基本保障活动列表库!C:D,2,0)</f>
        <v>F15-滑油检查</v>
      </c>
      <c r="E39" s="2" t="s">
        <v>682</v>
      </c>
      <c r="F39" s="2">
        <f>VLOOKUP(C39,基本保障活动列表库!C:E,3,0)</f>
        <v>5</v>
      </c>
    </row>
    <row r="40" spans="1:6" ht="16">
      <c r="A40" s="9" t="s">
        <v>340</v>
      </c>
      <c r="B40" s="2" t="s">
        <v>370</v>
      </c>
      <c r="C40" s="2" t="s">
        <v>694</v>
      </c>
      <c r="D40" s="2" t="str">
        <f>VLOOKUP(使用保障活动清单!C40,基本保障活动列表库!C:D,2,0)</f>
        <v>F15-流道检查</v>
      </c>
      <c r="E40" s="2" t="s">
        <v>682</v>
      </c>
      <c r="F40" s="2">
        <f>VLOOKUP(C40,基本保障活动列表库!C:E,3,0)</f>
        <v>5</v>
      </c>
    </row>
    <row r="41" spans="1:6" ht="16">
      <c r="A41" s="9" t="s">
        <v>340</v>
      </c>
      <c r="B41" s="2" t="s">
        <v>371</v>
      </c>
      <c r="C41" s="2" t="s">
        <v>713</v>
      </c>
      <c r="D41" s="2" t="str">
        <f>VLOOKUP(使用保障活动清单!C41,基本保障活动列表库!C:D,2,0)</f>
        <v>F15-机械外观检查</v>
      </c>
      <c r="E41" s="2"/>
      <c r="F41" s="2">
        <f>VLOOKUP(C41,基本保障活动列表库!C:E,3,0)</f>
        <v>30</v>
      </c>
    </row>
    <row r="42" spans="1:6" ht="15" customHeight="1">
      <c r="A42" s="9" t="s">
        <v>340</v>
      </c>
      <c r="B42" s="2" t="s">
        <v>371</v>
      </c>
      <c r="C42" s="2" t="s">
        <v>714</v>
      </c>
      <c r="D42" s="2" t="str">
        <f>VLOOKUP(使用保障活动清单!C42,基本保障活动列表库!C:D,2,0)</f>
        <v>F15-插座舱内保险</v>
      </c>
      <c r="E42" s="2" t="s">
        <v>713</v>
      </c>
      <c r="F42" s="2">
        <f>VLOOKUP(C42,基本保障活动列表库!C:E,3,0)</f>
        <v>1</v>
      </c>
    </row>
    <row r="43" spans="1:6" ht="16">
      <c r="A43" s="9" t="s">
        <v>340</v>
      </c>
      <c r="B43" s="2" t="s">
        <v>371</v>
      </c>
      <c r="C43" s="2" t="s">
        <v>715</v>
      </c>
      <c r="D43" s="2" t="str">
        <f>VLOOKUP(使用保障活动清单!C43,基本保障活动列表库!C:D,2,0)</f>
        <v>F15-插起落架下位锁保险销</v>
      </c>
      <c r="E43" s="2" t="s">
        <v>713</v>
      </c>
      <c r="F43" s="2">
        <f>VLOOKUP(C43,基本保障活动列表库!C:E,3,0)</f>
        <v>1</v>
      </c>
    </row>
    <row r="44" spans="1:6" ht="15" customHeight="1">
      <c r="A44" s="9" t="s">
        <v>340</v>
      </c>
      <c r="B44" s="2" t="s">
        <v>371</v>
      </c>
      <c r="C44" s="2" t="s">
        <v>716</v>
      </c>
      <c r="D44" s="2" t="str">
        <f>VLOOKUP(使用保障活动清单!C44,基本保障活动列表库!C:D,2,0)</f>
        <v>F15-退弹</v>
      </c>
      <c r="E44" s="2" t="s">
        <v>713</v>
      </c>
      <c r="F44" s="2">
        <f>VLOOKUP(C44,基本保障活动列表库!C:E,3,0)</f>
        <v>3</v>
      </c>
    </row>
    <row r="45" spans="1:6" ht="16">
      <c r="A45" s="9" t="s">
        <v>340</v>
      </c>
      <c r="B45" s="2" t="s">
        <v>371</v>
      </c>
      <c r="C45" s="2" t="s">
        <v>717</v>
      </c>
      <c r="D45" s="2" t="str">
        <f>VLOOKUP(使用保障活动清单!C45,基本保障活动列表库!C:D,2,0)</f>
        <v>F15-插水上记录漂浮记录保险</v>
      </c>
      <c r="E45" s="2" t="s">
        <v>713</v>
      </c>
      <c r="F45" s="2">
        <f>VLOOKUP(C45,基本保障活动列表库!C:E,3,0)</f>
        <v>2</v>
      </c>
    </row>
    <row r="46" spans="1:6" ht="16">
      <c r="A46" s="9" t="s">
        <v>340</v>
      </c>
      <c r="B46" s="2" t="s">
        <v>371</v>
      </c>
      <c r="C46" s="2" t="s">
        <v>718</v>
      </c>
      <c r="D46" s="2" t="str">
        <f>VLOOKUP(使用保障活动清单!C46,基本保障活动列表库!C:D,2,0)</f>
        <v>F15-关闭发动机补养开关</v>
      </c>
      <c r="E46" s="2" t="s">
        <v>713</v>
      </c>
      <c r="F46" s="2">
        <f>VLOOKUP(C46,基本保障活动列表库!C:E,3,0)</f>
        <v>2</v>
      </c>
    </row>
    <row r="47" spans="1:6" ht="16">
      <c r="A47" s="9" t="s">
        <v>340</v>
      </c>
      <c r="B47" s="2" t="s">
        <v>371</v>
      </c>
      <c r="C47" s="2" t="s">
        <v>719</v>
      </c>
      <c r="D47" s="2" t="str">
        <f>VLOOKUP(使用保障活动清单!C47,基本保障活动列表库!C:D,2,0)</f>
        <v>F15-插空速管保护套、风标保护套</v>
      </c>
      <c r="E47" s="2" t="s">
        <v>713</v>
      </c>
      <c r="F47" s="2">
        <f>VLOOKUP(C47,基本保障活动列表库!C:E,3,0)</f>
        <v>5</v>
      </c>
    </row>
    <row r="48" spans="1:6" ht="16">
      <c r="A48" s="9" t="s">
        <v>340</v>
      </c>
      <c r="B48" s="2" t="s">
        <v>371</v>
      </c>
      <c r="C48" s="2" t="s">
        <v>720</v>
      </c>
      <c r="D48" s="2" t="str">
        <f>VLOOKUP(使用保障活动清单!C48,基本保障活动列表库!C:D,2,0)</f>
        <v>F15-外观检查-飞行后</v>
      </c>
      <c r="E48" s="2" t="s">
        <v>713</v>
      </c>
      <c r="F48" s="2">
        <f>VLOOKUP(C48,基本保障活动列表库!C:E,3,0)</f>
        <v>20</v>
      </c>
    </row>
    <row r="49" spans="1:6" ht="16">
      <c r="A49" s="9" t="s">
        <v>340</v>
      </c>
      <c r="B49" s="2" t="s">
        <v>371</v>
      </c>
      <c r="C49" s="2" t="s">
        <v>721</v>
      </c>
      <c r="D49" s="2" t="str">
        <f>VLOOKUP(使用保障活动清单!C49,基本保障活动列表库!C:D,2,0)</f>
        <v>F15-归还敌我识别卡</v>
      </c>
      <c r="E49" s="2" t="s">
        <v>713</v>
      </c>
      <c r="F49" s="2">
        <f>VLOOKUP(C49,基本保障活动列表库!C:E,3,0)</f>
        <v>10</v>
      </c>
    </row>
    <row r="50" spans="1:6" ht="16">
      <c r="A50" s="9" t="s">
        <v>340</v>
      </c>
      <c r="B50" s="2" t="s">
        <v>371</v>
      </c>
      <c r="C50" s="2" t="s">
        <v>722</v>
      </c>
      <c r="D50" s="2" t="str">
        <f>VLOOKUP(使用保障活动清单!C50,基本保障活动列表库!C:D,2,0)</f>
        <v>F15-更换数据加载卡</v>
      </c>
      <c r="E50" s="2" t="s">
        <v>713</v>
      </c>
      <c r="F50" s="2">
        <f>VLOOKUP(C50,基本保障活动列表库!C:E,3,0)</f>
        <v>5</v>
      </c>
    </row>
    <row r="51" spans="1:6" ht="16">
      <c r="A51" s="50" t="s">
        <v>338</v>
      </c>
      <c r="B51" s="2" t="s">
        <v>625</v>
      </c>
      <c r="C51" s="2" t="s">
        <v>640</v>
      </c>
      <c r="D51" s="2" t="str">
        <f>VLOOKUP(使用保障活动清单!C51,基本保障活动列表库!C:D,2,0)</f>
        <v>F35-写卡</v>
      </c>
      <c r="E51" s="2"/>
      <c r="F51" s="2">
        <f>VLOOKUP(C51,基本保障活动列表库!C:E,3,0)</f>
        <v>15</v>
      </c>
    </row>
    <row r="52" spans="1:6" ht="16">
      <c r="A52" s="50" t="s">
        <v>338</v>
      </c>
      <c r="B52" s="2" t="s">
        <v>625</v>
      </c>
      <c r="C52" s="2" t="s">
        <v>641</v>
      </c>
      <c r="D52" s="2" t="str">
        <f>VLOOKUP(使用保障活动清单!C52,基本保障活动列表库!C:D,2,0)</f>
        <v>F35-外观检查</v>
      </c>
      <c r="E52" s="2" t="s">
        <v>640</v>
      </c>
      <c r="F52" s="2">
        <f>VLOOKUP(C52,基本保障活动列表库!C:E,3,0)</f>
        <v>30</v>
      </c>
    </row>
    <row r="53" spans="1:6" ht="16">
      <c r="A53" s="50" t="s">
        <v>338</v>
      </c>
      <c r="B53" s="2" t="s">
        <v>625</v>
      </c>
      <c r="C53" s="2" t="s">
        <v>642</v>
      </c>
      <c r="D53" s="2" t="str">
        <f>VLOOKUP(使用保障活动清单!C53,基本保障活动列表库!C:D,2,0)</f>
        <v>F35-接通空调</v>
      </c>
      <c r="E53" s="2" t="s">
        <v>640</v>
      </c>
      <c r="F53" s="2">
        <f>VLOOKUP(C53,基本保障活动列表库!C:E,3,0)</f>
        <v>10</v>
      </c>
    </row>
    <row r="54" spans="1:6" ht="16">
      <c r="A54" s="50" t="s">
        <v>338</v>
      </c>
      <c r="B54" s="2" t="s">
        <v>625</v>
      </c>
      <c r="C54" s="2" t="s">
        <v>643</v>
      </c>
      <c r="D54" s="2" t="str">
        <f>VLOOKUP(使用保障活动清单!C54,基本保障活动列表库!C:D,2,0)</f>
        <v>F35-装干扰弹</v>
      </c>
      <c r="E54" s="2" t="s">
        <v>640</v>
      </c>
      <c r="F54" s="2">
        <f>VLOOKUP(C54,基本保障活动列表库!C:E,3,0)</f>
        <v>10</v>
      </c>
    </row>
    <row r="55" spans="1:6" ht="16">
      <c r="A55" s="50" t="s">
        <v>338</v>
      </c>
      <c r="B55" s="2" t="s">
        <v>625</v>
      </c>
      <c r="C55" s="2" t="s">
        <v>644</v>
      </c>
      <c r="D55" s="2" t="str">
        <f>VLOOKUP(使用保障活动清单!C55,基本保障活动列表库!C:D,2,0)</f>
        <v>F35-挂弹</v>
      </c>
      <c r="E55" s="2" t="s">
        <v>640</v>
      </c>
      <c r="F55" s="2">
        <f>VLOOKUP(C55,基本保障活动列表库!C:E,3,0)</f>
        <v>60</v>
      </c>
    </row>
    <row r="56" spans="1:6" ht="16">
      <c r="A56" s="50" t="s">
        <v>338</v>
      </c>
      <c r="B56" s="2" t="s">
        <v>625</v>
      </c>
      <c r="C56" s="2" t="s">
        <v>645</v>
      </c>
      <c r="D56" s="2" t="str">
        <f>VLOOKUP(使用保障活动清单!C56,基本保障活动列表库!C:D,2,0)</f>
        <v>F35-接通电缆</v>
      </c>
      <c r="E56" s="2" t="s">
        <v>640</v>
      </c>
      <c r="F56" s="2">
        <f>VLOOKUP(C56,基本保障活动列表库!C:E,3,0)</f>
        <v>2</v>
      </c>
    </row>
    <row r="57" spans="1:6" ht="16">
      <c r="A57" s="50" t="s">
        <v>338</v>
      </c>
      <c r="B57" s="2" t="s">
        <v>625</v>
      </c>
      <c r="C57" s="2" t="s">
        <v>646</v>
      </c>
      <c r="D57" s="2" t="str">
        <f>VLOOKUP(使用保障活动清单!C57,基本保障活动列表库!C:D,2,0)</f>
        <v>F35-加载数据</v>
      </c>
      <c r="E57" s="2" t="s">
        <v>640</v>
      </c>
      <c r="F57" s="2">
        <f>VLOOKUP(C57,基本保障活动列表库!C:E,3,0)</f>
        <v>10</v>
      </c>
    </row>
    <row r="58" spans="1:6" ht="16">
      <c r="A58" s="50" t="s">
        <v>338</v>
      </c>
      <c r="B58" s="2" t="s">
        <v>625</v>
      </c>
      <c r="C58" s="2" t="s">
        <v>647</v>
      </c>
      <c r="D58" s="2" t="str">
        <f>VLOOKUP(使用保障活动清单!C58,基本保障活动列表库!C:D,2,0)</f>
        <v>F35-通电</v>
      </c>
      <c r="E58" s="2" t="s">
        <v>640</v>
      </c>
      <c r="F58" s="2">
        <f>VLOOKUP(C58,基本保障活动列表库!C:E,3,0)</f>
        <v>20</v>
      </c>
    </row>
    <row r="59" spans="1:6" ht="16">
      <c r="A59" s="50" t="s">
        <v>338</v>
      </c>
      <c r="B59" s="2" t="s">
        <v>625</v>
      </c>
      <c r="C59" s="2" t="s">
        <v>648</v>
      </c>
      <c r="D59" s="2" t="str">
        <f>VLOOKUP(使用保障活动清单!C59,基本保障活动列表库!C:D,2,0)</f>
        <v>F35-挂载武器通电</v>
      </c>
      <c r="E59" s="2" t="s">
        <v>640</v>
      </c>
      <c r="F59" s="2">
        <f>VLOOKUP(C59,基本保障活动列表库!C:E,3,0)</f>
        <v>10</v>
      </c>
    </row>
    <row r="60" spans="1:6" ht="16">
      <c r="A60" s="50" t="s">
        <v>338</v>
      </c>
      <c r="B60" s="2" t="s">
        <v>625</v>
      </c>
      <c r="C60" s="2" t="s">
        <v>649</v>
      </c>
      <c r="D60" s="2" t="str">
        <f>VLOOKUP(使用保障活动清单!C60,基本保障活动列表库!C:D,2,0)</f>
        <v>F35-氧气充填</v>
      </c>
      <c r="E60" s="2" t="s">
        <v>640</v>
      </c>
      <c r="F60" s="2">
        <f>VLOOKUP(C60,基本保障活动列表库!C:E,3,0)</f>
        <v>5</v>
      </c>
    </row>
    <row r="61" spans="1:6" ht="16">
      <c r="A61" s="50" t="s">
        <v>338</v>
      </c>
      <c r="B61" s="2" t="s">
        <v>625</v>
      </c>
      <c r="C61" s="2" t="s">
        <v>650</v>
      </c>
      <c r="D61" s="2" t="str">
        <f>VLOOKUP(使用保障活动清单!C61,基本保障活动列表库!C:D,2,0)</f>
        <v>F35-氮气充填</v>
      </c>
      <c r="E61" s="2" t="s">
        <v>640</v>
      </c>
      <c r="F61" s="2">
        <f>VLOOKUP(C61,基本保障活动列表库!C:E,3,0)</f>
        <v>5</v>
      </c>
    </row>
    <row r="62" spans="1:6" ht="16">
      <c r="A62" s="50" t="s">
        <v>338</v>
      </c>
      <c r="B62" s="2" t="s">
        <v>625</v>
      </c>
      <c r="C62" s="2" t="s">
        <v>651</v>
      </c>
      <c r="D62" s="2" t="str">
        <f>VLOOKUP(使用保障活动清单!C62,基本保障活动列表库!C:D,2,0)</f>
        <v>F35-燃油充填</v>
      </c>
      <c r="E62" s="2" t="s">
        <v>640</v>
      </c>
      <c r="F62" s="2">
        <f>VLOOKUP(C62,基本保障活动列表库!C:E,3,0)</f>
        <v>10</v>
      </c>
    </row>
    <row r="63" spans="1:6" ht="16">
      <c r="A63" s="50" t="s">
        <v>338</v>
      </c>
      <c r="B63" s="2" t="s">
        <v>625</v>
      </c>
      <c r="C63" s="2" t="s">
        <v>652</v>
      </c>
      <c r="D63" s="2" t="str">
        <f>VLOOKUP(使用保障活动清单!C63,基本保障活动列表库!C:D,2,0)</f>
        <v>F35-滑油检查</v>
      </c>
      <c r="E63" s="2" t="s">
        <v>640</v>
      </c>
      <c r="F63" s="2">
        <f>VLOOKUP(C63,基本保障活动列表库!C:E,3,0)</f>
        <v>5</v>
      </c>
    </row>
    <row r="64" spans="1:6" ht="16">
      <c r="A64" s="50" t="s">
        <v>338</v>
      </c>
      <c r="B64" s="2" t="s">
        <v>625</v>
      </c>
      <c r="C64" s="2" t="s">
        <v>653</v>
      </c>
      <c r="D64" s="2" t="str">
        <f>VLOOKUP(使用保障活动清单!C64,基本保障活动列表库!C:D,2,0)</f>
        <v>F35-流道检查</v>
      </c>
      <c r="E64" s="2" t="s">
        <v>640</v>
      </c>
      <c r="F64" s="2">
        <f>VLOOKUP(C64,基本保障活动列表库!C:E,3,0)</f>
        <v>5</v>
      </c>
    </row>
    <row r="65" spans="1:6" ht="16">
      <c r="A65" s="50" t="s">
        <v>338</v>
      </c>
      <c r="B65" s="2" t="s">
        <v>625</v>
      </c>
      <c r="C65" s="2" t="s">
        <v>654</v>
      </c>
      <c r="D65" s="2" t="str">
        <f>VLOOKUP(使用保障活动清单!C65,基本保障活动列表库!C:D,2,0)</f>
        <v>F35-暖机电传</v>
      </c>
      <c r="E65" s="2" t="s">
        <v>640</v>
      </c>
      <c r="F65" s="2">
        <f>VLOOKUP(C65,基本保障活动列表库!C:E,3,0)</f>
        <v>15</v>
      </c>
    </row>
    <row r="66" spans="1:6" ht="16">
      <c r="A66" s="50" t="s">
        <v>338</v>
      </c>
      <c r="B66" s="2" t="s">
        <v>625</v>
      </c>
      <c r="C66" s="2" t="s">
        <v>655</v>
      </c>
      <c r="D66" s="2" t="str">
        <f>VLOOKUP(使用保障活动清单!C66,基本保障活动列表库!C:D,2,0)</f>
        <v>F35-拔座舱内保险</v>
      </c>
      <c r="E66" s="2" t="s">
        <v>640</v>
      </c>
      <c r="F66" s="2">
        <f>VLOOKUP(C66,基本保障活动列表库!C:E,3,0)</f>
        <v>1</v>
      </c>
    </row>
    <row r="67" spans="1:6" ht="16">
      <c r="A67" s="50" t="s">
        <v>338</v>
      </c>
      <c r="B67" s="2" t="s">
        <v>625</v>
      </c>
      <c r="C67" s="2" t="s">
        <v>656</v>
      </c>
      <c r="D67" s="2" t="str">
        <f>VLOOKUP(使用保障活动清单!C67,基本保障活动列表库!C:D,2,0)</f>
        <v>F35-拔起落架下位锁保险销</v>
      </c>
      <c r="E67" s="2" t="s">
        <v>640</v>
      </c>
      <c r="F67" s="2">
        <f>VLOOKUP(C67,基本保障活动列表库!C:E,3,0)</f>
        <v>1</v>
      </c>
    </row>
    <row r="68" spans="1:6" ht="16">
      <c r="A68" s="50" t="s">
        <v>338</v>
      </c>
      <c r="B68" s="2" t="s">
        <v>625</v>
      </c>
      <c r="C68" s="2" t="s">
        <v>657</v>
      </c>
      <c r="D68" s="2" t="str">
        <f>VLOOKUP(使用保障活动清单!C68,基本保障活动列表库!C:D,2,0)</f>
        <v>F35-惯导</v>
      </c>
      <c r="E68" s="2" t="s">
        <v>640</v>
      </c>
      <c r="F68" s="2">
        <f>VLOOKUP(C68,基本保障活动列表库!C:E,3,0)</f>
        <v>15</v>
      </c>
    </row>
    <row r="69" spans="1:6" ht="16">
      <c r="A69" s="50" t="s">
        <v>338</v>
      </c>
      <c r="B69" s="2" t="s">
        <v>625</v>
      </c>
      <c r="C69" s="2" t="s">
        <v>658</v>
      </c>
      <c r="D69" s="2" t="str">
        <f>VLOOKUP(使用保障活动清单!C69,基本保障活动列表库!C:D,2,0)</f>
        <v>F35-拔水上漂浮记录器保险</v>
      </c>
      <c r="E69" s="2" t="s">
        <v>640</v>
      </c>
      <c r="F69" s="2">
        <f>VLOOKUP(C69,基本保障活动列表库!C:E,3,0)</f>
        <v>2</v>
      </c>
    </row>
    <row r="70" spans="1:6" ht="16">
      <c r="A70" s="50" t="s">
        <v>338</v>
      </c>
      <c r="B70" s="2" t="s">
        <v>625</v>
      </c>
      <c r="C70" s="2" t="s">
        <v>659</v>
      </c>
      <c r="D70" s="2" t="str">
        <f>VLOOKUP(使用保障活动清单!C70,基本保障活动列表库!C:D,2,0)</f>
        <v>F35-文件填写</v>
      </c>
      <c r="E70" s="2" t="s">
        <v>640</v>
      </c>
      <c r="F70" s="2">
        <f>VLOOKUP(C70,基本保障活动列表库!C:E,3,0)</f>
        <v>5</v>
      </c>
    </row>
    <row r="71" spans="1:6" ht="16">
      <c r="A71" s="50" t="s">
        <v>338</v>
      </c>
      <c r="B71" s="2" t="s">
        <v>625</v>
      </c>
      <c r="C71" s="2" t="s">
        <v>660</v>
      </c>
      <c r="D71" s="2" t="str">
        <f>VLOOKUP(使用保障活动清单!C71,基本保障活动列表库!C:D,2,0)</f>
        <v>F35-清点工用具</v>
      </c>
      <c r="E71" s="2" t="s">
        <v>640</v>
      </c>
      <c r="F71" s="2">
        <f>VLOOKUP(C71,基本保障活动列表库!C:E,3,0)</f>
        <v>3</v>
      </c>
    </row>
    <row r="72" spans="1:6" ht="16">
      <c r="A72" s="50" t="s">
        <v>338</v>
      </c>
      <c r="B72" s="2" t="s">
        <v>627</v>
      </c>
      <c r="C72" s="2" t="s">
        <v>641</v>
      </c>
      <c r="D72" s="2" t="str">
        <f>VLOOKUP(使用保障活动清单!C72,基本保障活动列表库!C:D,2,0)</f>
        <v>F35-外观检查</v>
      </c>
      <c r="E72" s="2"/>
      <c r="F72" s="2">
        <f>VLOOKUP(C72,基本保障活动列表库!C:E,3,0)</f>
        <v>30</v>
      </c>
    </row>
    <row r="73" spans="1:6" ht="16">
      <c r="A73" s="50" t="s">
        <v>338</v>
      </c>
      <c r="B73" s="2" t="s">
        <v>627</v>
      </c>
      <c r="C73" s="2" t="s">
        <v>642</v>
      </c>
      <c r="D73" s="2" t="str">
        <f>VLOOKUP(使用保障活动清单!C73,基本保障活动列表库!C:D,2,0)</f>
        <v>F35-接通空调</v>
      </c>
      <c r="E73" s="2" t="s">
        <v>641</v>
      </c>
      <c r="F73" s="2">
        <f>VLOOKUP(C73,基本保障活动列表库!C:E,3,0)</f>
        <v>10</v>
      </c>
    </row>
    <row r="74" spans="1:6" ht="16">
      <c r="A74" s="50" t="s">
        <v>338</v>
      </c>
      <c r="B74" s="2" t="s">
        <v>627</v>
      </c>
      <c r="C74" s="2" t="s">
        <v>646</v>
      </c>
      <c r="D74" s="2" t="str">
        <f>VLOOKUP(使用保障活动清单!C74,基本保障活动列表库!C:D,2,0)</f>
        <v>F35-加载数据</v>
      </c>
      <c r="E74" s="2" t="s">
        <v>641</v>
      </c>
      <c r="F74" s="2">
        <f>VLOOKUP(C74,基本保障活动列表库!C:E,3,0)</f>
        <v>10</v>
      </c>
    </row>
    <row r="75" spans="1:6" ht="16">
      <c r="A75" s="50" t="s">
        <v>338</v>
      </c>
      <c r="B75" s="2" t="s">
        <v>627</v>
      </c>
      <c r="C75" s="2" t="s">
        <v>668</v>
      </c>
      <c r="D75" s="2" t="str">
        <f>VLOOKUP(使用保障活动清单!C75,基本保障活动列表库!C:D,2,0)</f>
        <v>F35-通电检查-再次</v>
      </c>
      <c r="E75" s="2" t="s">
        <v>641</v>
      </c>
      <c r="F75" s="2">
        <f>VLOOKUP(C75,基本保障活动列表库!C:E,3,0)</f>
        <v>20</v>
      </c>
    </row>
    <row r="76" spans="1:6" ht="16">
      <c r="A76" s="50" t="s">
        <v>338</v>
      </c>
      <c r="B76" s="2" t="s">
        <v>627</v>
      </c>
      <c r="C76" s="2" t="s">
        <v>655</v>
      </c>
      <c r="D76" s="2" t="str">
        <f>VLOOKUP(使用保障活动清单!C76,基本保障活动列表库!C:D,2,0)</f>
        <v>F35-拔座舱内保险</v>
      </c>
      <c r="E76" s="2" t="s">
        <v>641</v>
      </c>
      <c r="F76" s="2">
        <f>VLOOKUP(C76,基本保障活动列表库!C:E,3,0)</f>
        <v>1</v>
      </c>
    </row>
    <row r="77" spans="1:6" ht="16">
      <c r="A77" s="50" t="s">
        <v>338</v>
      </c>
      <c r="B77" s="2" t="s">
        <v>627</v>
      </c>
      <c r="C77" s="2" t="s">
        <v>669</v>
      </c>
      <c r="D77" s="2" t="str">
        <f>VLOOKUP(使用保障活动清单!C77,基本保障活动列表库!C:D,2,0)</f>
        <v>F35-座椅通电</v>
      </c>
      <c r="E77" s="2" t="s">
        <v>641</v>
      </c>
      <c r="F77" s="2">
        <f>VLOOKUP(C77,基本保障活动列表库!C:E,3,0)</f>
        <v>1</v>
      </c>
    </row>
    <row r="78" spans="1:6" ht="16">
      <c r="A78" s="50" t="s">
        <v>338</v>
      </c>
      <c r="B78" s="2" t="s">
        <v>627</v>
      </c>
      <c r="C78" s="2" t="s">
        <v>644</v>
      </c>
      <c r="D78" s="2" t="str">
        <f>VLOOKUP(使用保障活动清单!C78,基本保障活动列表库!C:D,2,0)</f>
        <v>F35-挂弹</v>
      </c>
      <c r="E78" s="2" t="s">
        <v>641</v>
      </c>
      <c r="F78" s="2">
        <f>VLOOKUP(C78,基本保障活动列表库!C:E,3,0)</f>
        <v>60</v>
      </c>
    </row>
    <row r="79" spans="1:6" ht="16">
      <c r="A79" s="50" t="s">
        <v>338</v>
      </c>
      <c r="B79" s="2" t="s">
        <v>627</v>
      </c>
      <c r="C79" s="2" t="s">
        <v>648</v>
      </c>
      <c r="D79" s="2" t="str">
        <f>VLOOKUP(使用保障活动清单!C79,基本保障活动列表库!C:D,2,0)</f>
        <v>F35-挂载武器通电</v>
      </c>
      <c r="E79" s="2" t="s">
        <v>641</v>
      </c>
      <c r="F79" s="2">
        <f>VLOOKUP(C79,基本保障活动列表库!C:E,3,0)</f>
        <v>10</v>
      </c>
    </row>
    <row r="80" spans="1:6" ht="16">
      <c r="A80" s="50" t="s">
        <v>338</v>
      </c>
      <c r="B80" s="2" t="s">
        <v>627</v>
      </c>
      <c r="C80" s="2" t="s">
        <v>645</v>
      </c>
      <c r="D80" s="2" t="str">
        <f>VLOOKUP(使用保障活动清单!C80,基本保障活动列表库!C:D,2,0)</f>
        <v>F35-接通电缆</v>
      </c>
      <c r="E80" s="2" t="s">
        <v>641</v>
      </c>
      <c r="F80" s="2">
        <f>VLOOKUP(C80,基本保障活动列表库!C:E,3,0)</f>
        <v>2</v>
      </c>
    </row>
    <row r="81" spans="1:6" ht="16">
      <c r="A81" s="50" t="s">
        <v>338</v>
      </c>
      <c r="B81" s="2" t="s">
        <v>627</v>
      </c>
      <c r="C81" s="2" t="s">
        <v>649</v>
      </c>
      <c r="D81" s="2" t="str">
        <f>VLOOKUP(使用保障活动清单!C81,基本保障活动列表库!C:D,2,0)</f>
        <v>F35-氧气充填</v>
      </c>
      <c r="E81" s="2" t="s">
        <v>641</v>
      </c>
      <c r="F81" s="2">
        <f>VLOOKUP(C81,基本保障活动列表库!C:E,3,0)</f>
        <v>5</v>
      </c>
    </row>
    <row r="82" spans="1:6" ht="16">
      <c r="A82" s="50" t="s">
        <v>338</v>
      </c>
      <c r="B82" s="2" t="s">
        <v>627</v>
      </c>
      <c r="C82" s="2" t="s">
        <v>670</v>
      </c>
      <c r="D82" s="2" t="str">
        <f>VLOOKUP(使用保障活动清单!C82,基本保障活动列表库!C:D,2,0)</f>
        <v>F35-通电检查</v>
      </c>
      <c r="E82" s="2" t="s">
        <v>641</v>
      </c>
      <c r="F82" s="2">
        <f>VLOOKUP(C82,基本保障活动列表库!C:E,3,0)</f>
        <v>20</v>
      </c>
    </row>
    <row r="83" spans="1:6" ht="16">
      <c r="A83" s="50" t="s">
        <v>338</v>
      </c>
      <c r="B83" s="2" t="s">
        <v>627</v>
      </c>
      <c r="C83" s="2" t="s">
        <v>657</v>
      </c>
      <c r="D83" s="2" t="str">
        <f>VLOOKUP(使用保障活动清单!C83,基本保障活动列表库!C:D,2,0)</f>
        <v>F35-惯导</v>
      </c>
      <c r="E83" s="2" t="s">
        <v>641</v>
      </c>
      <c r="F83" s="2">
        <f>VLOOKUP(C83,基本保障活动列表库!C:E,3,0)</f>
        <v>15</v>
      </c>
    </row>
    <row r="84" spans="1:6" ht="16">
      <c r="A84" s="50" t="s">
        <v>338</v>
      </c>
      <c r="B84" s="2" t="s">
        <v>627</v>
      </c>
      <c r="C84" s="2" t="s">
        <v>658</v>
      </c>
      <c r="D84" s="2" t="str">
        <f>VLOOKUP(使用保障活动清单!C84,基本保障活动列表库!C:D,2,0)</f>
        <v>F35-拔水上漂浮记录器保险</v>
      </c>
      <c r="E84" s="2" t="s">
        <v>641</v>
      </c>
      <c r="F84" s="2">
        <f>VLOOKUP(C84,基本保障活动列表库!C:E,3,0)</f>
        <v>2</v>
      </c>
    </row>
    <row r="85" spans="1:6" ht="16">
      <c r="A85" s="50" t="s">
        <v>338</v>
      </c>
      <c r="B85" s="2" t="s">
        <v>627</v>
      </c>
      <c r="C85" s="2" t="s">
        <v>650</v>
      </c>
      <c r="D85" s="2" t="str">
        <f>VLOOKUP(使用保障活动清单!C85,基本保障活动列表库!C:D,2,0)</f>
        <v>F35-氮气充填</v>
      </c>
      <c r="E85" s="2" t="s">
        <v>641</v>
      </c>
      <c r="F85" s="2">
        <f>VLOOKUP(C85,基本保障活动列表库!C:E,3,0)</f>
        <v>5</v>
      </c>
    </row>
    <row r="86" spans="1:6" ht="16">
      <c r="A86" s="50" t="s">
        <v>338</v>
      </c>
      <c r="B86" s="2" t="s">
        <v>627</v>
      </c>
      <c r="C86" s="2" t="s">
        <v>651</v>
      </c>
      <c r="D86" s="2" t="str">
        <f>VLOOKUP(使用保障活动清单!C86,基本保障活动列表库!C:D,2,0)</f>
        <v>F35-燃油充填</v>
      </c>
      <c r="E86" s="2" t="s">
        <v>641</v>
      </c>
      <c r="F86" s="2">
        <f>VLOOKUP(C86,基本保障活动列表库!C:E,3,0)</f>
        <v>10</v>
      </c>
    </row>
    <row r="87" spans="1:6" ht="16">
      <c r="A87" s="50" t="s">
        <v>338</v>
      </c>
      <c r="B87" s="2" t="s">
        <v>627</v>
      </c>
      <c r="C87" s="2" t="s">
        <v>652</v>
      </c>
      <c r="D87" s="2" t="str">
        <f>VLOOKUP(使用保障活动清单!C87,基本保障活动列表库!C:D,2,0)</f>
        <v>F35-滑油检查</v>
      </c>
      <c r="E87" s="2" t="s">
        <v>641</v>
      </c>
      <c r="F87" s="2">
        <f>VLOOKUP(C87,基本保障活动列表库!C:E,3,0)</f>
        <v>5</v>
      </c>
    </row>
    <row r="88" spans="1:6" ht="16">
      <c r="A88" s="50" t="s">
        <v>338</v>
      </c>
      <c r="B88" s="2" t="s">
        <v>627</v>
      </c>
      <c r="C88" s="2" t="s">
        <v>653</v>
      </c>
      <c r="D88" s="2" t="str">
        <f>VLOOKUP(使用保障活动清单!C88,基本保障活动列表库!C:D,2,0)</f>
        <v>F35-流道检查</v>
      </c>
      <c r="E88" s="2" t="s">
        <v>641</v>
      </c>
      <c r="F88" s="2">
        <f>VLOOKUP(C88,基本保障活动列表库!C:E,3,0)</f>
        <v>5</v>
      </c>
    </row>
    <row r="89" spans="1:6" ht="16">
      <c r="A89" s="50" t="s">
        <v>338</v>
      </c>
      <c r="B89" s="2" t="s">
        <v>626</v>
      </c>
      <c r="C89" s="2" t="s">
        <v>671</v>
      </c>
      <c r="D89" s="2" t="str">
        <f>VLOOKUP(使用保障活动清单!C89,基本保障活动列表库!C:D,2,0)</f>
        <v>F35-机械外观检查</v>
      </c>
      <c r="E89" s="2"/>
      <c r="F89" s="2">
        <f>VLOOKUP(C89,基本保障活动列表库!C:E,3,0)</f>
        <v>30</v>
      </c>
    </row>
    <row r="90" spans="1:6" ht="16">
      <c r="A90" s="50" t="s">
        <v>338</v>
      </c>
      <c r="B90" s="2" t="s">
        <v>626</v>
      </c>
      <c r="C90" s="2" t="s">
        <v>672</v>
      </c>
      <c r="D90" s="2" t="str">
        <f>VLOOKUP(使用保障活动清单!C90,基本保障活动列表库!C:D,2,0)</f>
        <v>F35-插座舱内保险</v>
      </c>
      <c r="E90" s="3" t="str">
        <f>C89</f>
        <v>j32</v>
      </c>
      <c r="F90" s="2">
        <f>VLOOKUP(C90,基本保障活动列表库!C:E,3,0)</f>
        <v>1</v>
      </c>
    </row>
    <row r="91" spans="1:6" ht="16">
      <c r="A91" s="50" t="s">
        <v>338</v>
      </c>
      <c r="B91" s="2" t="s">
        <v>626</v>
      </c>
      <c r="C91" s="2" t="s">
        <v>673</v>
      </c>
      <c r="D91" s="2" t="str">
        <f>VLOOKUP(使用保障活动清单!C91,基本保障活动列表库!C:D,2,0)</f>
        <v>F35-插起落架下位锁保险销</v>
      </c>
      <c r="E91" s="3" t="str">
        <f>E90</f>
        <v>j32</v>
      </c>
      <c r="F91" s="2">
        <f>VLOOKUP(C91,基本保障活动列表库!C:E,3,0)</f>
        <v>1</v>
      </c>
    </row>
    <row r="92" spans="1:6" ht="16">
      <c r="A92" s="50" t="s">
        <v>338</v>
      </c>
      <c r="B92" s="2" t="s">
        <v>626</v>
      </c>
      <c r="C92" s="2" t="s">
        <v>674</v>
      </c>
      <c r="D92" s="2" t="str">
        <f>VLOOKUP(使用保障活动清单!C92,基本保障活动列表库!C:D,2,0)</f>
        <v>F35-退弹</v>
      </c>
      <c r="E92" s="3" t="str">
        <f t="shared" ref="E92:E98" si="1">E91</f>
        <v>j32</v>
      </c>
      <c r="F92" s="2">
        <f>VLOOKUP(C92,基本保障活动列表库!C:E,3,0)</f>
        <v>3</v>
      </c>
    </row>
    <row r="93" spans="1:6" ht="16">
      <c r="A93" s="50" t="s">
        <v>338</v>
      </c>
      <c r="B93" s="2" t="s">
        <v>626</v>
      </c>
      <c r="C93" s="2" t="s">
        <v>675</v>
      </c>
      <c r="D93" s="2" t="str">
        <f>VLOOKUP(使用保障活动清单!C93,基本保障活动列表库!C:D,2,0)</f>
        <v>F35-插水上记录漂浮记录保险</v>
      </c>
      <c r="E93" s="3" t="str">
        <f t="shared" si="1"/>
        <v>j32</v>
      </c>
      <c r="F93" s="2">
        <f>VLOOKUP(C93,基本保障活动列表库!C:E,3,0)</f>
        <v>2</v>
      </c>
    </row>
    <row r="94" spans="1:6" ht="16">
      <c r="A94" s="50" t="s">
        <v>338</v>
      </c>
      <c r="B94" s="2" t="s">
        <v>626</v>
      </c>
      <c r="C94" s="2" t="s">
        <v>676</v>
      </c>
      <c r="D94" s="2" t="str">
        <f>VLOOKUP(使用保障活动清单!C94,基本保障活动列表库!C:D,2,0)</f>
        <v>F35-关闭发动机补养开关</v>
      </c>
      <c r="E94" s="3" t="str">
        <f t="shared" si="1"/>
        <v>j32</v>
      </c>
      <c r="F94" s="2">
        <f>VLOOKUP(C94,基本保障活动列表库!C:E,3,0)</f>
        <v>2</v>
      </c>
    </row>
    <row r="95" spans="1:6" ht="16">
      <c r="A95" s="50" t="s">
        <v>338</v>
      </c>
      <c r="B95" s="2" t="s">
        <v>626</v>
      </c>
      <c r="C95" s="2" t="s">
        <v>677</v>
      </c>
      <c r="D95" s="2" t="str">
        <f>VLOOKUP(使用保障活动清单!C95,基本保障活动列表库!C:D,2,0)</f>
        <v>F35-插空速管保护套、风标保护套</v>
      </c>
      <c r="E95" s="3" t="str">
        <f t="shared" si="1"/>
        <v>j32</v>
      </c>
      <c r="F95" s="2">
        <f>VLOOKUP(C95,基本保障活动列表库!C:E,3,0)</f>
        <v>5</v>
      </c>
    </row>
    <row r="96" spans="1:6" ht="16">
      <c r="A96" s="50" t="s">
        <v>338</v>
      </c>
      <c r="B96" s="2" t="s">
        <v>626</v>
      </c>
      <c r="C96" s="2" t="s">
        <v>678</v>
      </c>
      <c r="D96" s="2" t="str">
        <f>VLOOKUP(使用保障活动清单!C96,基本保障活动列表库!C:D,2,0)</f>
        <v>F35-外观检查-飞行后</v>
      </c>
      <c r="E96" s="3" t="str">
        <f t="shared" si="1"/>
        <v>j32</v>
      </c>
      <c r="F96" s="2">
        <f>VLOOKUP(C96,基本保障活动列表库!C:E,3,0)</f>
        <v>20</v>
      </c>
    </row>
    <row r="97" spans="1:6" ht="16">
      <c r="A97" s="50" t="s">
        <v>338</v>
      </c>
      <c r="B97" s="2" t="s">
        <v>626</v>
      </c>
      <c r="C97" s="2" t="s">
        <v>679</v>
      </c>
      <c r="D97" s="2" t="str">
        <f>VLOOKUP(使用保障活动清单!C97,基本保障活动列表库!C:D,2,0)</f>
        <v>F35-归还敌我识别卡</v>
      </c>
      <c r="E97" s="3" t="str">
        <f t="shared" si="1"/>
        <v>j32</v>
      </c>
      <c r="F97" s="2">
        <f>VLOOKUP(C97,基本保障活动列表库!C:E,3,0)</f>
        <v>10</v>
      </c>
    </row>
    <row r="98" spans="1:6" ht="16">
      <c r="A98" s="50" t="s">
        <v>338</v>
      </c>
      <c r="B98" s="2" t="s">
        <v>626</v>
      </c>
      <c r="C98" s="2" t="s">
        <v>680</v>
      </c>
      <c r="D98" s="2" t="str">
        <f>VLOOKUP(使用保障活动清单!C98,基本保障活动列表库!C:D,2,0)</f>
        <v>F35-更换数据加载卡</v>
      </c>
      <c r="E98" s="3" t="str">
        <f t="shared" si="1"/>
        <v>j32</v>
      </c>
      <c r="F98" s="2">
        <f>VLOOKUP(C98,基本保障活动列表库!C:E,3,0)</f>
        <v>5</v>
      </c>
    </row>
    <row r="99" spans="1:6" ht="16">
      <c r="A99" s="9" t="s">
        <v>337</v>
      </c>
      <c r="B99" s="2" t="s">
        <v>633</v>
      </c>
      <c r="C99" s="2" t="s">
        <v>723</v>
      </c>
      <c r="D99" s="2" t="str">
        <f>VLOOKUP(使用保障活动清单!C99,基本保障活动列表库!C:D,2,0)</f>
        <v>E2D-异物排查</v>
      </c>
      <c r="F99" s="2">
        <f>VLOOKUP(C99,基本保障活动列表库!C:E,3,0)</f>
        <v>20</v>
      </c>
    </row>
    <row r="100" spans="1:6" ht="16">
      <c r="A100" s="9" t="s">
        <v>337</v>
      </c>
      <c r="B100" s="2" t="s">
        <v>633</v>
      </c>
      <c r="C100" s="2" t="s">
        <v>724</v>
      </c>
      <c r="D100" s="2" t="str">
        <f>VLOOKUP(使用保障活动清单!C100,基本保障活动列表库!C:D,2,0)</f>
        <v>E2D-展开机翼</v>
      </c>
      <c r="E100" s="9" t="str">
        <f>C99</f>
        <v>j83</v>
      </c>
      <c r="F100" s="2">
        <f>VLOOKUP(C100,基本保障活动列表库!C:E,3,0)</f>
        <v>5</v>
      </c>
    </row>
    <row r="101" spans="1:6" ht="16">
      <c r="A101" s="9" t="s">
        <v>337</v>
      </c>
      <c r="B101" s="2" t="s">
        <v>633</v>
      </c>
      <c r="C101" s="2" t="s">
        <v>725</v>
      </c>
      <c r="D101" s="2" t="str">
        <f>VLOOKUP(使用保障活动清单!C101,基本保障活动列表库!C:D,2,0)</f>
        <v>E2D-加添燃油至飞行计划规定油量</v>
      </c>
      <c r="E101" s="9" t="str">
        <f>E100</f>
        <v>j83</v>
      </c>
      <c r="F101" s="2">
        <f>VLOOKUP(C101,基本保障活动列表库!C:E,3,0)</f>
        <v>15</v>
      </c>
    </row>
    <row r="102" spans="1:6" ht="16">
      <c r="A102" s="9" t="s">
        <v>337</v>
      </c>
      <c r="B102" s="2" t="s">
        <v>633</v>
      </c>
      <c r="C102" s="2" t="s">
        <v>726</v>
      </c>
      <c r="D102" s="2" t="str">
        <f>VLOOKUP(使用保障活动清单!C102,基本保障活动列表库!C:D,2,0)</f>
        <v>E2D-检查发动机，视情加添滑油</v>
      </c>
      <c r="E102" s="9" t="str">
        <f t="shared" ref="E102:E118" si="2">E101</f>
        <v>j83</v>
      </c>
      <c r="F102" s="2">
        <f>VLOOKUP(C102,基本保障活动列表库!C:E,3,0)</f>
        <v>12</v>
      </c>
    </row>
    <row r="103" spans="1:6" ht="32">
      <c r="A103" s="9" t="s">
        <v>337</v>
      </c>
      <c r="B103" s="2" t="s">
        <v>633</v>
      </c>
      <c r="C103" s="2" t="s">
        <v>727</v>
      </c>
      <c r="D103" s="2" t="str">
        <f>VLOOKUP(使用保障活动清单!C103,基本保障活动列表库!C:D,2,0)</f>
        <v>E2D-检查并视情给各液压系统平衡油量、给右蓄压瓶增压</v>
      </c>
      <c r="E103" s="9" t="str">
        <f t="shared" si="2"/>
        <v>j83</v>
      </c>
      <c r="F103" s="2">
        <f>VLOOKUP(C103,基本保障活动列表库!C:E,3,0)</f>
        <v>2</v>
      </c>
    </row>
    <row r="104" spans="1:6" ht="16">
      <c r="A104" s="9" t="s">
        <v>337</v>
      </c>
      <c r="B104" s="2" t="s">
        <v>633</v>
      </c>
      <c r="C104" s="2" t="s">
        <v>728</v>
      </c>
      <c r="D104" s="2" t="str">
        <f>VLOOKUP(使用保障活动清单!C104,基本保障活动列表库!C:D,2,0)</f>
        <v>E2D-按路线检查飞机，并收起接地线（机械收）</v>
      </c>
      <c r="E104" s="9" t="str">
        <f t="shared" si="2"/>
        <v>j83</v>
      </c>
      <c r="F104" s="2">
        <f>VLOOKUP(C104,基本保障活动列表库!C:E,3,0)</f>
        <v>5</v>
      </c>
    </row>
    <row r="105" spans="1:6" ht="16">
      <c r="A105" s="9" t="s">
        <v>337</v>
      </c>
      <c r="B105" s="2" t="s">
        <v>633</v>
      </c>
      <c r="C105" s="2" t="s">
        <v>729</v>
      </c>
      <c r="D105" s="2" t="str">
        <f>VLOOKUP(使用保障活动清单!C105,基本保障活动列表库!C:D,2,0)</f>
        <v>E2D-接通外部电源</v>
      </c>
      <c r="E105" s="9" t="str">
        <f t="shared" si="2"/>
        <v>j83</v>
      </c>
      <c r="F105" s="2">
        <f>VLOOKUP(C105,基本保障活动列表库!C:E,3,0)</f>
        <v>1</v>
      </c>
    </row>
    <row r="106" spans="1:6" ht="16">
      <c r="A106" s="9" t="s">
        <v>337</v>
      </c>
      <c r="B106" s="2" t="s">
        <v>633</v>
      </c>
      <c r="C106" s="2" t="s">
        <v>730</v>
      </c>
      <c r="D106" s="2" t="str">
        <f>VLOOKUP(使用保障活动清单!C106,基本保障活动列表库!C:D,2,0)</f>
        <v>E2D-飞控、照明、通电自检</v>
      </c>
      <c r="E106" s="9" t="str">
        <f t="shared" si="2"/>
        <v>j83</v>
      </c>
      <c r="F106" s="2">
        <f>VLOOKUP(C106,基本保障活动列表库!C:E,3,0)</f>
        <v>10</v>
      </c>
    </row>
    <row r="107" spans="1:6" ht="16">
      <c r="A107" s="9" t="s">
        <v>337</v>
      </c>
      <c r="B107" s="2" t="s">
        <v>633</v>
      </c>
      <c r="C107" s="2" t="s">
        <v>731</v>
      </c>
      <c r="D107" s="2" t="str">
        <f>VLOOKUP(使用保障活动清单!C107,基本保障活动列表库!C:D,2,0)</f>
        <v>E2D-对惯导</v>
      </c>
      <c r="E107" s="9" t="str">
        <f t="shared" si="2"/>
        <v>j83</v>
      </c>
      <c r="F107" s="2">
        <f>VLOOKUP(C107,基本保障活动列表库!C:E,3,0)</f>
        <v>8</v>
      </c>
    </row>
    <row r="108" spans="1:6" ht="16">
      <c r="A108" s="9" t="s">
        <v>337</v>
      </c>
      <c r="B108" s="2" t="s">
        <v>633</v>
      </c>
      <c r="C108" s="2" t="s">
        <v>732</v>
      </c>
      <c r="D108" s="2" t="str">
        <f>VLOOKUP(使用保障活动清单!C108,基本保障活动列表库!C:D,2,0)</f>
        <v>E2D-检查各电门、按钮是否在规定位置</v>
      </c>
      <c r="E108" s="9" t="str">
        <f t="shared" si="2"/>
        <v>j83</v>
      </c>
      <c r="F108" s="2">
        <f>VLOOKUP(C108,基本保障活动列表库!C:E,3,0)</f>
        <v>1</v>
      </c>
    </row>
    <row r="109" spans="1:6" ht="16">
      <c r="A109" s="9" t="s">
        <v>337</v>
      </c>
      <c r="B109" s="2" t="s">
        <v>633</v>
      </c>
      <c r="C109" s="2" t="s">
        <v>733</v>
      </c>
      <c r="D109" s="2" t="str">
        <f>VLOOKUP(使用保障活动清单!C109,基本保障活动列表库!C:D,2,0)</f>
        <v>E2D-断开外部电源</v>
      </c>
      <c r="E109" s="9" t="str">
        <f t="shared" si="2"/>
        <v>j83</v>
      </c>
      <c r="F109" s="2">
        <f>VLOOKUP(C109,基本保障活动列表库!C:E,3,0)</f>
        <v>1</v>
      </c>
    </row>
    <row r="110" spans="1:6" ht="16">
      <c r="A110" s="9" t="s">
        <v>337</v>
      </c>
      <c r="B110" s="2" t="s">
        <v>633</v>
      </c>
      <c r="C110" s="2" t="s">
        <v>734</v>
      </c>
      <c r="D110" s="2" t="str">
        <f>VLOOKUP(使用保障活动清单!C110,基本保障活动列表库!C:D,2,0)</f>
        <v>E2D-安装信号弹、干扰弹</v>
      </c>
      <c r="E110" s="9" t="str">
        <f t="shared" si="2"/>
        <v>j83</v>
      </c>
      <c r="F110" s="2">
        <f>VLOOKUP(C110,基本保障活动列表库!C:E,3,0)</f>
        <v>15</v>
      </c>
    </row>
    <row r="111" spans="1:6" ht="16">
      <c r="A111" s="9" t="s">
        <v>337</v>
      </c>
      <c r="B111" s="2" t="s">
        <v>633</v>
      </c>
      <c r="C111" s="2" t="s">
        <v>735</v>
      </c>
      <c r="D111" s="2" t="str">
        <f>VLOOKUP(使用保障活动清单!C111,基本保障活动列表库!C:D,2,0)</f>
        <v>E2D-写卡</v>
      </c>
      <c r="E111" s="9" t="str">
        <f t="shared" si="2"/>
        <v>j83</v>
      </c>
      <c r="F111" s="2">
        <f>VLOOKUP(C111,基本保障活动列表库!C:E,3,0)</f>
        <v>5</v>
      </c>
    </row>
    <row r="112" spans="1:6" ht="16">
      <c r="A112" s="9" t="s">
        <v>337</v>
      </c>
      <c r="B112" s="2" t="s">
        <v>633</v>
      </c>
      <c r="C112" s="2" t="s">
        <v>736</v>
      </c>
      <c r="D112" s="2" t="str">
        <f>VLOOKUP(使用保障活动清单!C112,基本保障活动列表库!C:D,2,0)</f>
        <v>E2D-航电系统通电检查</v>
      </c>
      <c r="E112" s="9" t="str">
        <f t="shared" si="2"/>
        <v>j83</v>
      </c>
      <c r="F112" s="2">
        <f>VLOOKUP(C112,基本保障活动列表库!C:E,3,0)</f>
        <v>5</v>
      </c>
    </row>
    <row r="113" spans="1:6" ht="16">
      <c r="A113" s="9" t="s">
        <v>337</v>
      </c>
      <c r="B113" s="2" t="s">
        <v>633</v>
      </c>
      <c r="C113" s="2" t="s">
        <v>737</v>
      </c>
      <c r="D113" s="2" t="str">
        <f>VLOOKUP(使用保障活动清单!C113,基本保障活动列表库!C:D,2,0)</f>
        <v>E2D-加装任务数据模块</v>
      </c>
      <c r="E113" s="9" t="str">
        <f t="shared" si="2"/>
        <v>j83</v>
      </c>
      <c r="F113" s="2">
        <f>VLOOKUP(C113,基本保障活动列表库!C:E,3,0)</f>
        <v>5</v>
      </c>
    </row>
    <row r="114" spans="1:6" ht="16">
      <c r="A114" s="9" t="s">
        <v>337</v>
      </c>
      <c r="B114" s="2" t="s">
        <v>633</v>
      </c>
      <c r="C114" s="2" t="s">
        <v>738</v>
      </c>
      <c r="D114" s="2" t="str">
        <f>VLOOKUP(使用保障活动清单!C114,基本保障活动列表库!C:D,2,0)</f>
        <v>E2D-任务系统通电检查</v>
      </c>
      <c r="E114" s="9" t="str">
        <f t="shared" si="2"/>
        <v>j83</v>
      </c>
      <c r="F114" s="2">
        <f>VLOOKUP(C114,基本保障活动列表库!C:E,3,0)</f>
        <v>5</v>
      </c>
    </row>
    <row r="115" spans="1:6" ht="16">
      <c r="A115" s="9" t="s">
        <v>337</v>
      </c>
      <c r="B115" s="2" t="s">
        <v>633</v>
      </c>
      <c r="C115" s="2" t="s">
        <v>739</v>
      </c>
      <c r="D115" s="2" t="str">
        <f>VLOOKUP(使用保障活动清单!C115,基本保障活动列表库!C:D,2,0)</f>
        <v>E2D-间隙异物排查</v>
      </c>
      <c r="E115" s="9" t="str">
        <f t="shared" si="2"/>
        <v>j83</v>
      </c>
      <c r="F115" s="2">
        <f>VLOOKUP(C115,基本保障活动列表库!C:E,3,0)</f>
        <v>5</v>
      </c>
    </row>
    <row r="116" spans="1:6" ht="16">
      <c r="A116" s="9" t="s">
        <v>337</v>
      </c>
      <c r="B116" s="2" t="s">
        <v>633</v>
      </c>
      <c r="C116" s="2" t="s">
        <v>740</v>
      </c>
      <c r="D116" s="2" t="str">
        <f>VLOOKUP(使用保障活动清单!C116,基本保障活动列表库!C:D,2,0)</f>
        <v>E2D-暖机开车滑出</v>
      </c>
      <c r="E116" s="9" t="str">
        <f t="shared" si="2"/>
        <v>j83</v>
      </c>
      <c r="F116" s="2">
        <f>VLOOKUP(C116,基本保障活动列表库!C:E,3,0)</f>
        <v>20</v>
      </c>
    </row>
    <row r="117" spans="1:6" ht="16">
      <c r="A117" s="9" t="s">
        <v>337</v>
      </c>
      <c r="B117" s="2" t="s">
        <v>633</v>
      </c>
      <c r="C117" s="2" t="s">
        <v>744</v>
      </c>
      <c r="D117" s="2" t="str">
        <f>VLOOKUP(使用保障活动清单!C117,基本保障活动列表库!C:D,2,0)</f>
        <v>E2D-资源撤收</v>
      </c>
      <c r="E117" s="9" t="str">
        <f t="shared" si="2"/>
        <v>j83</v>
      </c>
      <c r="F117" s="2">
        <f>VLOOKUP(C117,基本保障活动列表库!C:E,3,0)</f>
        <v>3</v>
      </c>
    </row>
    <row r="118" spans="1:6" ht="16">
      <c r="A118" s="9" t="s">
        <v>337</v>
      </c>
      <c r="B118" s="2" t="s">
        <v>633</v>
      </c>
      <c r="C118" s="2" t="s">
        <v>745</v>
      </c>
      <c r="D118" s="2" t="str">
        <f>VLOOKUP(使用保障活动清单!C118,基本保障活动列表库!C:D,2,0)</f>
        <v>E2D-放飞流程</v>
      </c>
      <c r="E118" s="9" t="str">
        <f t="shared" si="2"/>
        <v>j83</v>
      </c>
      <c r="F118" s="2">
        <f>VLOOKUP(C118,基本保障活动列表库!C:E,3,0)</f>
        <v>4</v>
      </c>
    </row>
    <row r="119" spans="1:6" ht="16">
      <c r="A119" s="9" t="s">
        <v>337</v>
      </c>
      <c r="B119" s="2" t="s">
        <v>632</v>
      </c>
      <c r="C119" s="2" t="s">
        <v>725</v>
      </c>
      <c r="D119" s="2" t="str">
        <f>VLOOKUP(使用保障活动清单!C119,基本保障活动列表库!C:D,2,0)</f>
        <v>E2D-加添燃油至飞行计划规定油量</v>
      </c>
      <c r="F119" s="2">
        <f>VLOOKUP(C119,基本保障活动列表库!C:E,3,0)</f>
        <v>15</v>
      </c>
    </row>
    <row r="120" spans="1:6" ht="16">
      <c r="A120" s="9" t="s">
        <v>337</v>
      </c>
      <c r="B120" s="2" t="s">
        <v>632</v>
      </c>
      <c r="C120" s="50" t="s">
        <v>726</v>
      </c>
      <c r="D120" s="2" t="str">
        <f>VLOOKUP(使用保障活动清单!C120,基本保障活动列表库!C:D,2,0)</f>
        <v>E2D-检查发动机，视情加添滑油</v>
      </c>
      <c r="E120" s="9" t="str">
        <f>C119</f>
        <v>j85</v>
      </c>
      <c r="F120" s="2">
        <f>VLOOKUP(C121,基本保障活动列表库!C:E,3,0)</f>
        <v>2</v>
      </c>
    </row>
    <row r="121" spans="1:6" ht="32">
      <c r="A121" s="9" t="s">
        <v>337</v>
      </c>
      <c r="B121" s="2" t="s">
        <v>632</v>
      </c>
      <c r="C121" s="2" t="s">
        <v>727</v>
      </c>
      <c r="D121" s="2" t="str">
        <f>VLOOKUP(使用保障活动清单!C121,基本保障活动列表库!C:D,2,0)</f>
        <v>E2D-检查并视情给各液压系统平衡油量、给右蓄压瓶增压</v>
      </c>
      <c r="E121" s="9" t="str">
        <f>E120</f>
        <v>j85</v>
      </c>
      <c r="F121" s="2">
        <f>VLOOKUP(C122,基本保障活动列表库!C:E,3,0)</f>
        <v>5</v>
      </c>
    </row>
    <row r="122" spans="1:6" ht="16">
      <c r="A122" s="9" t="s">
        <v>337</v>
      </c>
      <c r="B122" s="2" t="s">
        <v>632</v>
      </c>
      <c r="C122" s="2" t="s">
        <v>728</v>
      </c>
      <c r="D122" s="2" t="str">
        <f>VLOOKUP(使用保障活动清单!C122,基本保障活动列表库!C:D,2,0)</f>
        <v>E2D-按路线检查飞机，并收起接地线（机械收）</v>
      </c>
      <c r="E122" s="9" t="str">
        <f t="shared" ref="E122:E126" si="3">E121</f>
        <v>j85</v>
      </c>
      <c r="F122" s="2">
        <f>VLOOKUP(C123,基本保障活动列表库!C:E,3,0)</f>
        <v>8</v>
      </c>
    </row>
    <row r="123" spans="1:6" ht="16">
      <c r="A123" s="9" t="s">
        <v>337</v>
      </c>
      <c r="B123" s="2" t="s">
        <v>632</v>
      </c>
      <c r="C123" s="2" t="s">
        <v>731</v>
      </c>
      <c r="D123" s="2" t="str">
        <f>VLOOKUP(使用保障活动清单!C123,基本保障活动列表库!C:D,2,0)</f>
        <v>E2D-对惯导</v>
      </c>
      <c r="E123" s="9" t="str">
        <f t="shared" si="3"/>
        <v>j85</v>
      </c>
      <c r="F123" s="2">
        <f>VLOOKUP(C124,基本保障活动列表库!C:E,3,0)</f>
        <v>1</v>
      </c>
    </row>
    <row r="124" spans="1:6" ht="16">
      <c r="A124" s="9" t="s">
        <v>337</v>
      </c>
      <c r="B124" s="2" t="s">
        <v>632</v>
      </c>
      <c r="C124" s="2" t="s">
        <v>729</v>
      </c>
      <c r="D124" s="2" t="str">
        <f>VLOOKUP(使用保障活动清单!C124,基本保障活动列表库!C:D,2,0)</f>
        <v>E2D-接通外部电源</v>
      </c>
      <c r="E124" s="9" t="str">
        <f t="shared" si="3"/>
        <v>j85</v>
      </c>
      <c r="F124" s="2">
        <f>VLOOKUP(C125,基本保障活动列表库!C:E,3,0)</f>
        <v>1</v>
      </c>
    </row>
    <row r="125" spans="1:6" ht="16">
      <c r="A125" s="9" t="s">
        <v>337</v>
      </c>
      <c r="B125" s="2" t="s">
        <v>632</v>
      </c>
      <c r="C125" s="2" t="s">
        <v>732</v>
      </c>
      <c r="D125" s="2" t="str">
        <f>VLOOKUP(使用保障活动清单!C125,基本保障活动列表库!C:D,2,0)</f>
        <v>E2D-检查各电门、按钮是否在规定位置</v>
      </c>
      <c r="E125" s="9" t="str">
        <f t="shared" si="3"/>
        <v>j85</v>
      </c>
      <c r="F125" s="2">
        <f>VLOOKUP(C126,基本保障活动列表库!C:E,3,0)</f>
        <v>1</v>
      </c>
    </row>
    <row r="126" spans="1:6" ht="16">
      <c r="A126" s="9" t="s">
        <v>337</v>
      </c>
      <c r="B126" s="2" t="s">
        <v>632</v>
      </c>
      <c r="C126" s="2" t="s">
        <v>733</v>
      </c>
      <c r="D126" s="2" t="str">
        <f>VLOOKUP(使用保障活动清单!C126,基本保障活动列表库!C:D,2,0)</f>
        <v>E2D-断开外部电源</v>
      </c>
      <c r="E126" s="9" t="str">
        <f t="shared" si="3"/>
        <v>j85</v>
      </c>
      <c r="F126" s="2">
        <f>VLOOKUP(C126,基本保障活动列表库!C:E,3,0)</f>
        <v>1</v>
      </c>
    </row>
    <row r="127" spans="1:6" ht="16">
      <c r="A127" s="9" t="s">
        <v>337</v>
      </c>
      <c r="B127" s="2" t="s">
        <v>634</v>
      </c>
      <c r="C127" s="2" t="s">
        <v>746</v>
      </c>
      <c r="D127" s="2" t="str">
        <f>VLOOKUP(使用保障活动清单!C127,基本保障活动列表库!C:D,2,0)</f>
        <v>E2D-加添燃油至规定的停机加油量</v>
      </c>
      <c r="E127" s="50"/>
      <c r="F127" s="2">
        <f>VLOOKUP(C127,基本保障活动列表库!C:E,3,0)</f>
        <v>15</v>
      </c>
    </row>
    <row r="128" spans="1:6" ht="16">
      <c r="A128" s="9" t="s">
        <v>337</v>
      </c>
      <c r="B128" s="2" t="s">
        <v>634</v>
      </c>
      <c r="C128" s="2" t="s">
        <v>726</v>
      </c>
      <c r="D128" s="2" t="str">
        <f>VLOOKUP(使用保障活动清单!C128,基本保障活动列表库!C:D,2,0)</f>
        <v>E2D-检查发动机，视情加添滑油</v>
      </c>
      <c r="E128" t="str">
        <f>C127</f>
        <v>j103</v>
      </c>
      <c r="F128" s="2">
        <f>VLOOKUP(C128,基本保障活动列表库!C:E,3,0)</f>
        <v>12</v>
      </c>
    </row>
    <row r="129" spans="1:7" ht="16">
      <c r="A129" s="9" t="s">
        <v>337</v>
      </c>
      <c r="B129" s="2" t="s">
        <v>634</v>
      </c>
      <c r="C129" s="2" t="s">
        <v>748</v>
      </c>
      <c r="D129" s="2" t="str">
        <f>VLOOKUP(使用保障活动清单!C129,基本保障活动列表库!C:D,2,0)</f>
        <v>E2D-涂油润滑起落架缓冲支柱光洁面</v>
      </c>
      <c r="E129" t="str">
        <f>C128</f>
        <v>j86</v>
      </c>
      <c r="F129" s="2">
        <f>VLOOKUP(C129,基本保障活动列表库!C:E,3,0)</f>
        <v>3</v>
      </c>
    </row>
    <row r="130" spans="1:7" ht="16">
      <c r="A130" s="9" t="s">
        <v>337</v>
      </c>
      <c r="B130" s="2" t="s">
        <v>634</v>
      </c>
      <c r="C130" s="2" t="s">
        <v>749</v>
      </c>
      <c r="D130" s="2" t="str">
        <f>VLOOKUP(使用保障活动清单!C130,基本保障活动列表库!C:D,2,0)</f>
        <v>E2D-按路线检查飞机_飞行后</v>
      </c>
      <c r="E130" t="str">
        <f t="shared" ref="E130:E137" si="4">C129</f>
        <v>j105</v>
      </c>
      <c r="F130" s="2">
        <f>VLOOKUP(C130,基本保障活动列表库!C:E,3,0)</f>
        <v>10</v>
      </c>
    </row>
    <row r="131" spans="1:7" ht="16">
      <c r="A131" s="9" t="s">
        <v>337</v>
      </c>
      <c r="B131" s="2" t="s">
        <v>634</v>
      </c>
      <c r="C131" s="2" t="s">
        <v>750</v>
      </c>
      <c r="D131" s="2" t="str">
        <f>VLOOKUP(使用保障活动清单!C131,基本保障活动列表库!C:D,2,0)</f>
        <v>E2D-折叠机翼并涂油润滑活动关节处</v>
      </c>
      <c r="E131" t="str">
        <f t="shared" si="4"/>
        <v>j106</v>
      </c>
      <c r="F131" s="2">
        <f>VLOOKUP(C131,基本保障活动列表库!C:E,3,0)</f>
        <v>7</v>
      </c>
    </row>
    <row r="132" spans="1:7" ht="16">
      <c r="A132" s="9" t="s">
        <v>337</v>
      </c>
      <c r="B132" s="2" t="s">
        <v>634</v>
      </c>
      <c r="C132" s="2" t="s">
        <v>729</v>
      </c>
      <c r="D132" s="2" t="str">
        <f>VLOOKUP(使用保障活动清单!C132,基本保障活动列表库!C:D,2,0)</f>
        <v>E2D-接通外部电源</v>
      </c>
      <c r="E132" t="str">
        <f t="shared" si="4"/>
        <v>j107</v>
      </c>
      <c r="F132" s="2">
        <f>VLOOKUP(C132,基本保障活动列表库!C:E,3,0)</f>
        <v>1</v>
      </c>
    </row>
    <row r="133" spans="1:7" ht="16">
      <c r="A133" s="9" t="s">
        <v>337</v>
      </c>
      <c r="B133" s="2" t="s">
        <v>634</v>
      </c>
      <c r="C133" s="2" t="s">
        <v>732</v>
      </c>
      <c r="D133" s="2" t="str">
        <f>VLOOKUP(使用保障活动清单!C133,基本保障活动列表库!C:D,2,0)</f>
        <v>E2D-检查各电门、按钮是否在规定位置</v>
      </c>
      <c r="E133" t="str">
        <f t="shared" si="4"/>
        <v>j89</v>
      </c>
      <c r="F133" s="2">
        <f>VLOOKUP(C133,基本保障活动列表库!C:E,3,0)</f>
        <v>1</v>
      </c>
    </row>
    <row r="134" spans="1:7" ht="16">
      <c r="A134" s="9" t="s">
        <v>337</v>
      </c>
      <c r="B134" s="2" t="s">
        <v>634</v>
      </c>
      <c r="C134" s="2" t="s">
        <v>733</v>
      </c>
      <c r="D134" s="2" t="str">
        <f>VLOOKUP(使用保障活动清单!C134,基本保障活动列表库!C:D,2,0)</f>
        <v>E2D-断开外部电源</v>
      </c>
      <c r="E134" t="str">
        <f t="shared" si="4"/>
        <v>j92</v>
      </c>
      <c r="F134" s="2">
        <f>VLOOKUP(C134,基本保障活动列表库!C:E,3,0)</f>
        <v>1</v>
      </c>
    </row>
    <row r="135" spans="1:7" ht="16">
      <c r="A135" s="9" t="s">
        <v>337</v>
      </c>
      <c r="B135" s="2" t="s">
        <v>634</v>
      </c>
      <c r="C135" s="2" t="s">
        <v>751</v>
      </c>
      <c r="D135" s="2" t="str">
        <f>VLOOKUP(使用保障活动清单!C135,基本保障活动列表库!C:D,2,0)</f>
        <v>E2D-取卡</v>
      </c>
      <c r="E135" t="str">
        <f t="shared" si="4"/>
        <v>j93</v>
      </c>
      <c r="F135" s="2">
        <f>VLOOKUP(C135,基本保障活动列表库!C:E,3,0)</f>
        <v>1</v>
      </c>
    </row>
    <row r="136" spans="1:7" ht="16">
      <c r="A136" s="9" t="s">
        <v>337</v>
      </c>
      <c r="B136" s="2" t="s">
        <v>634</v>
      </c>
      <c r="C136" s="2" t="s">
        <v>752</v>
      </c>
      <c r="D136" s="2" t="str">
        <f>VLOOKUP(使用保障活动清单!C136,基本保障活动列表库!C:D,2,0)</f>
        <v>E2D-卸下信号弹、干扰弹</v>
      </c>
      <c r="E136" t="str">
        <f t="shared" si="4"/>
        <v>j108</v>
      </c>
      <c r="F136" s="2">
        <f>VLOOKUP(C136,基本保障活动列表库!C:E,3,0)</f>
        <v>15</v>
      </c>
    </row>
    <row r="137" spans="1:7" ht="16">
      <c r="A137" s="9" t="s">
        <v>337</v>
      </c>
      <c r="B137" s="14" t="s">
        <v>634</v>
      </c>
      <c r="C137" s="14" t="s">
        <v>753</v>
      </c>
      <c r="D137" s="2" t="str">
        <f>VLOOKUP(使用保障活动清单!C137,基本保障活动列表库!C:D,2,0)</f>
        <v>E2D-堵堵头、盖蒙布</v>
      </c>
      <c r="E137" t="str">
        <f t="shared" si="4"/>
        <v>j109</v>
      </c>
      <c r="F137" s="2">
        <f>VLOOKUP(C137,基本保障活动列表库!C:E,3,0)</f>
        <v>15</v>
      </c>
    </row>
    <row r="138" spans="1:7" ht="16">
      <c r="A138" s="9" t="s">
        <v>339</v>
      </c>
      <c r="B138" s="12" t="s">
        <v>628</v>
      </c>
      <c r="C138" s="2" t="s">
        <v>754</v>
      </c>
      <c r="D138" s="2" t="str">
        <f>VLOOKUP(使用保障活动清单!C138,基本保障活动列表库!C:D,2,0)</f>
        <v>Z20-异物排查</v>
      </c>
      <c r="F138" s="2">
        <f>VLOOKUP(C138,基本保障活动列表库!C:E,3,0)</f>
        <v>10</v>
      </c>
      <c r="G138" s="19"/>
    </row>
    <row r="139" spans="1:7" ht="16">
      <c r="A139" s="9" t="s">
        <v>339</v>
      </c>
      <c r="B139" s="12" t="s">
        <v>628</v>
      </c>
      <c r="C139" s="2" t="s">
        <v>755</v>
      </c>
      <c r="D139" s="2" t="str">
        <f>VLOOKUP(使用保障活动清单!C139,基本保障活动列表库!C:D,2,0)</f>
        <v>Z20-机械外观检查</v>
      </c>
      <c r="E139" t="str">
        <f>C138</f>
        <v>j111</v>
      </c>
      <c r="F139" s="2">
        <f>VLOOKUP(C139,基本保障活动列表库!C:E,3,0)</f>
        <v>20</v>
      </c>
      <c r="G139" s="18"/>
    </row>
    <row r="140" spans="1:7" ht="16">
      <c r="A140" s="9" t="s">
        <v>339</v>
      </c>
      <c r="B140" s="12" t="s">
        <v>628</v>
      </c>
      <c r="C140" s="2" t="s">
        <v>756</v>
      </c>
      <c r="D140" s="2" t="str">
        <f>VLOOKUP(使用保障活动清单!C140,基本保障活动列表库!C:D,2,0)</f>
        <v>Z20-接电源</v>
      </c>
      <c r="E140" t="str">
        <f>E139</f>
        <v>j111</v>
      </c>
      <c r="F140" s="2">
        <f>VLOOKUP(C140,基本保障活动列表库!C:E,3,0)</f>
        <v>1</v>
      </c>
    </row>
    <row r="141" spans="1:7" ht="16">
      <c r="A141" s="9" t="s">
        <v>339</v>
      </c>
      <c r="B141" s="12" t="s">
        <v>628</v>
      </c>
      <c r="C141" s="2" t="s">
        <v>757</v>
      </c>
      <c r="D141" s="2" t="str">
        <f>VLOOKUP(使用保障活动清单!C141,基本保障活动列表库!C:D,2,0)</f>
        <v>Z20-补燃油(压力加油)</v>
      </c>
      <c r="E141" t="str">
        <f t="shared" ref="E141:E171" si="5">E140</f>
        <v>j111</v>
      </c>
      <c r="F141" s="2">
        <f>VLOOKUP(C141,基本保障活动列表库!C:E,3,0)</f>
        <v>9</v>
      </c>
    </row>
    <row r="142" spans="1:7" ht="16">
      <c r="A142" s="9" t="s">
        <v>339</v>
      </c>
      <c r="B142" s="12" t="s">
        <v>628</v>
      </c>
      <c r="C142" s="2" t="s">
        <v>758</v>
      </c>
      <c r="D142" s="2" t="str">
        <f>VLOOKUP(使用保障活动清单!C142,基本保障活动列表库!C:D,2,0)</f>
        <v>Z20-启动液压电动泵，旋翼、尾梁展开</v>
      </c>
      <c r="E142" t="str">
        <f t="shared" si="5"/>
        <v>j111</v>
      </c>
      <c r="F142" s="2">
        <f>VLOOKUP(C142,基本保障活动列表库!C:E,3,0)</f>
        <v>2</v>
      </c>
    </row>
    <row r="143" spans="1:7" ht="16">
      <c r="A143" s="9" t="s">
        <v>339</v>
      </c>
      <c r="B143" s="12" t="s">
        <v>628</v>
      </c>
      <c r="C143" s="2" t="s">
        <v>759</v>
      </c>
      <c r="D143" s="2" t="str">
        <f>VLOOKUP(使用保障活动清单!C143,基本保障活动列表库!C:D,2,0)</f>
        <v>Z20-特设通电检查</v>
      </c>
      <c r="E143" t="str">
        <f t="shared" si="5"/>
        <v>j111</v>
      </c>
      <c r="F143" s="2">
        <f>VLOOKUP(C143,基本保障活动列表库!C:E,3,0)</f>
        <v>7</v>
      </c>
    </row>
    <row r="144" spans="1:7" ht="16">
      <c r="A144" s="9" t="s">
        <v>339</v>
      </c>
      <c r="B144" s="12" t="s">
        <v>628</v>
      </c>
      <c r="C144" s="2" t="s">
        <v>760</v>
      </c>
      <c r="D144" s="2" t="str">
        <f>VLOOKUP(使用保障活动清单!C144,基本保障活动列表库!C:D,2,0)</f>
        <v>Z20-航电系统上电自检</v>
      </c>
      <c r="E144" t="str">
        <f t="shared" si="5"/>
        <v>j111</v>
      </c>
      <c r="F144" s="2">
        <f>VLOOKUP(C144,基本保障活动列表库!C:E,3,0)</f>
        <v>6</v>
      </c>
    </row>
    <row r="145" spans="1:6" ht="16">
      <c r="A145" s="9" t="s">
        <v>339</v>
      </c>
      <c r="B145" s="12" t="s">
        <v>628</v>
      </c>
      <c r="C145" s="2" t="s">
        <v>761</v>
      </c>
      <c r="D145" s="2" t="str">
        <f>VLOOKUP(使用保障活动清单!C145,基本保障活动列表库!C:D,2,0)</f>
        <v>Z20-航电数据加载、应答机校时</v>
      </c>
      <c r="E145" t="str">
        <f t="shared" si="5"/>
        <v>j111</v>
      </c>
      <c r="F145" s="2">
        <f>VLOOKUP(C145,基本保障活动列表库!C:E,3,0)</f>
        <v>10</v>
      </c>
    </row>
    <row r="146" spans="1:6" ht="16">
      <c r="A146" s="9" t="s">
        <v>339</v>
      </c>
      <c r="B146" s="12" t="s">
        <v>628</v>
      </c>
      <c r="C146" s="2" t="s">
        <v>762</v>
      </c>
      <c r="D146" s="2" t="str">
        <f>VLOOKUP(使用保障活动清单!C146,基本保障活动列表库!C:D,2,0)</f>
        <v>Z20-惯导对准</v>
      </c>
      <c r="E146" t="str">
        <f t="shared" si="5"/>
        <v>j111</v>
      </c>
      <c r="F146" s="2">
        <f>VLOOKUP(C146,基本保障活动列表库!C:E,3,0)</f>
        <v>8</v>
      </c>
    </row>
    <row r="147" spans="1:6" ht="16">
      <c r="A147" s="9" t="s">
        <v>339</v>
      </c>
      <c r="B147" s="12" t="s">
        <v>628</v>
      </c>
      <c r="C147" s="2" t="s">
        <v>763</v>
      </c>
      <c r="D147" s="2" t="str">
        <f>VLOOKUP(使用保障活动清单!C147,基本保障活动列表库!C:D,2,0)</f>
        <v>Z20-电台密钥数据加载</v>
      </c>
      <c r="E147" t="str">
        <f t="shared" si="5"/>
        <v>j111</v>
      </c>
      <c r="F147" s="2">
        <f>VLOOKUP(C147,基本保障活动列表库!C:E,3,0)</f>
        <v>1</v>
      </c>
    </row>
    <row r="148" spans="1:6" ht="16">
      <c r="A148" s="9" t="s">
        <v>339</v>
      </c>
      <c r="B148" s="12" t="s">
        <v>628</v>
      </c>
      <c r="C148" s="2" t="s">
        <v>764</v>
      </c>
      <c r="D148" s="2" t="str">
        <f>VLOOKUP(使用保障活动清单!C148,基本保障活动列表库!C:D,2,0)</f>
        <v>Z20-声纳任务系统通电检查</v>
      </c>
      <c r="E148" t="str">
        <f t="shared" si="5"/>
        <v>j111</v>
      </c>
      <c r="F148" s="2">
        <f>VLOOKUP(C148,基本保障活动列表库!C:E,3,0)</f>
        <v>6</v>
      </c>
    </row>
    <row r="149" spans="1:6" ht="16">
      <c r="A149" s="9" t="s">
        <v>339</v>
      </c>
      <c r="B149" s="12" t="s">
        <v>628</v>
      </c>
      <c r="C149" s="2" t="s">
        <v>765</v>
      </c>
      <c r="D149" s="2" t="str">
        <f>VLOOKUP(使用保障活动清单!C149,基本保障活动列表库!C:D,2,0)</f>
        <v>Z20-声纳任务系统数据加载</v>
      </c>
      <c r="E149" t="str">
        <f t="shared" si="5"/>
        <v>j111</v>
      </c>
      <c r="F149" s="2">
        <f>VLOOKUP(C149,基本保障活动列表库!C:E,3,0)</f>
        <v>10</v>
      </c>
    </row>
    <row r="150" spans="1:6" ht="16">
      <c r="A150" s="9" t="s">
        <v>339</v>
      </c>
      <c r="B150" s="12" t="s">
        <v>628</v>
      </c>
      <c r="C150" s="2" t="s">
        <v>766</v>
      </c>
      <c r="D150" s="2" t="str">
        <f>VLOOKUP(使用保障活动清单!C150,基本保障活动列表库!C:D,2,0)</f>
        <v>Z20-根据飞行任务装挂航空弹药</v>
      </c>
      <c r="E150" t="str">
        <f t="shared" si="5"/>
        <v>j111</v>
      </c>
      <c r="F150" s="2">
        <f>VLOOKUP(C150,基本保障活动列表库!C:E,3,0)</f>
        <v>20</v>
      </c>
    </row>
    <row r="151" spans="1:6" ht="15" customHeight="1">
      <c r="A151" s="9" t="s">
        <v>339</v>
      </c>
      <c r="B151" s="12" t="s">
        <v>628</v>
      </c>
      <c r="C151" s="2" t="s">
        <v>767</v>
      </c>
      <c r="D151" s="2" t="str">
        <f>VLOOKUP(使用保障活动清单!C151,基本保障活动列表库!C:D,2,0)</f>
        <v>Z20-装填干扰弹（按需）</v>
      </c>
      <c r="E151" t="str">
        <f t="shared" si="5"/>
        <v>j111</v>
      </c>
      <c r="F151" s="2">
        <f>VLOOKUP(C151,基本保障活动列表库!C:E,3,0)</f>
        <v>2</v>
      </c>
    </row>
    <row r="152" spans="1:6" ht="16">
      <c r="A152" s="9" t="s">
        <v>339</v>
      </c>
      <c r="B152" s="12" t="s">
        <v>628</v>
      </c>
      <c r="C152" s="2" t="s">
        <v>768</v>
      </c>
      <c r="D152" s="2" t="str">
        <f>VLOOKUP(使用保障活动清单!C152,基本保障活动列表库!C:D,2,0)</f>
        <v>Z20-根据飞行任务装挂声纳/浮标</v>
      </c>
      <c r="E152" t="str">
        <f t="shared" si="5"/>
        <v>j111</v>
      </c>
      <c r="F152" s="2">
        <f>VLOOKUP(C152,基本保障活动列表库!C:E,3,0)</f>
        <v>20</v>
      </c>
    </row>
    <row r="153" spans="1:6" ht="16">
      <c r="A153" s="9" t="s">
        <v>339</v>
      </c>
      <c r="B153" s="12" t="s">
        <v>628</v>
      </c>
      <c r="C153" s="2" t="s">
        <v>769</v>
      </c>
      <c r="D153" s="2" t="str">
        <f>VLOOKUP(使用保障活动清单!C153,基本保障活动列表库!C:D,2,0)</f>
        <v>Z20-基本航电数据下载</v>
      </c>
      <c r="E153" t="str">
        <f t="shared" si="5"/>
        <v>j111</v>
      </c>
      <c r="F153" s="2">
        <f>VLOOKUP(C153,基本保障活动列表库!C:E,3,0)</f>
        <v>7</v>
      </c>
    </row>
    <row r="154" spans="1:6" ht="15" customHeight="1">
      <c r="A154" s="9" t="s">
        <v>339</v>
      </c>
      <c r="B154" s="12" t="s">
        <v>630</v>
      </c>
      <c r="C154" s="50" t="s">
        <v>755</v>
      </c>
      <c r="D154" s="2" t="str">
        <f>VLOOKUP(使用保障活动清单!C154,基本保障活动列表库!C:D,2,0)</f>
        <v>Z20-机械外观检查</v>
      </c>
      <c r="F154" s="2">
        <f>VLOOKUP(C155,基本保障活动列表库!C:E,3,0)</f>
        <v>1</v>
      </c>
    </row>
    <row r="155" spans="1:6" ht="16">
      <c r="A155" s="9" t="s">
        <v>339</v>
      </c>
      <c r="B155" s="12" t="s">
        <v>630</v>
      </c>
      <c r="C155" s="2" t="s">
        <v>756</v>
      </c>
      <c r="D155" s="2" t="str">
        <f>VLOOKUP(使用保障活动清单!C155,基本保障活动列表库!C:D,2,0)</f>
        <v>Z20-接电源</v>
      </c>
      <c r="E155" t="str">
        <f>C154</f>
        <v>j112</v>
      </c>
      <c r="F155" s="2">
        <f>VLOOKUP(C156,基本保障活动列表库!C:E,3,0)</f>
        <v>9</v>
      </c>
    </row>
    <row r="156" spans="1:6" ht="16">
      <c r="A156" s="9" t="s">
        <v>339</v>
      </c>
      <c r="B156" s="12" t="s">
        <v>630</v>
      </c>
      <c r="C156" s="14" t="s">
        <v>757</v>
      </c>
      <c r="D156" s="2" t="str">
        <f>VLOOKUP(使用保障活动清单!C156,基本保障活动列表库!C:D,2,0)</f>
        <v>Z20-补燃油(压力加油)</v>
      </c>
      <c r="E156" t="str">
        <f t="shared" si="5"/>
        <v>j112</v>
      </c>
      <c r="F156" s="2">
        <f>VLOOKUP(C157,基本保障活动列表库!C:E,3,0)</f>
        <v>7</v>
      </c>
    </row>
    <row r="157" spans="1:6" ht="16">
      <c r="A157" s="9" t="s">
        <v>339</v>
      </c>
      <c r="B157" s="12" t="s">
        <v>630</v>
      </c>
      <c r="C157" s="2" t="s">
        <v>769</v>
      </c>
      <c r="D157" s="2" t="str">
        <f>VLOOKUP(使用保障活动清单!C157,基本保障活动列表库!C:D,2,0)</f>
        <v>Z20-基本航电数据下载</v>
      </c>
      <c r="E157" t="str">
        <f t="shared" si="5"/>
        <v>j112</v>
      </c>
      <c r="F157" s="2">
        <f>VLOOKUP(C158,基本保障活动列表库!C:E,3,0)</f>
        <v>10</v>
      </c>
    </row>
    <row r="158" spans="1:6" ht="16">
      <c r="A158" s="9" t="s">
        <v>339</v>
      </c>
      <c r="B158" s="12" t="s">
        <v>630</v>
      </c>
      <c r="C158" s="50" t="s">
        <v>761</v>
      </c>
      <c r="D158" s="2" t="str">
        <f>VLOOKUP(使用保障活动清单!C158,基本保障活动列表库!C:D,2,0)</f>
        <v>Z20-航电数据加载、应答机校时</v>
      </c>
      <c r="E158" t="str">
        <f t="shared" si="5"/>
        <v>j112</v>
      </c>
      <c r="F158" s="2">
        <f>VLOOKUP(C159,基本保障活动列表库!C:E,3,0)</f>
        <v>8</v>
      </c>
    </row>
    <row r="159" spans="1:6" ht="16">
      <c r="A159" s="9" t="s">
        <v>339</v>
      </c>
      <c r="B159" s="12" t="s">
        <v>630</v>
      </c>
      <c r="C159" s="14" t="s">
        <v>762</v>
      </c>
      <c r="D159" s="2" t="str">
        <f>VLOOKUP(使用保障活动清单!C159,基本保障活动列表库!C:D,2,0)</f>
        <v>Z20-惯导对准</v>
      </c>
      <c r="E159" t="str">
        <f t="shared" si="5"/>
        <v>j112</v>
      </c>
      <c r="F159" s="2">
        <f>VLOOKUP(C160,基本保障活动列表库!C:E,3,0)</f>
        <v>6</v>
      </c>
    </row>
    <row r="160" spans="1:6" ht="16">
      <c r="A160" s="9" t="s">
        <v>339</v>
      </c>
      <c r="B160" s="12" t="s">
        <v>630</v>
      </c>
      <c r="C160" s="14" t="s">
        <v>770</v>
      </c>
      <c r="D160" s="2" t="str">
        <f>VLOOKUP(使用保障活动清单!C160,基本保障活动列表库!C:D,2,0)</f>
        <v>Z20-飞参数据下载</v>
      </c>
      <c r="E160" t="str">
        <f t="shared" si="5"/>
        <v>j112</v>
      </c>
      <c r="F160" s="2">
        <f>VLOOKUP(C161,基本保障活动列表库!C:E,3,0)</f>
        <v>6</v>
      </c>
    </row>
    <row r="161" spans="1:6" ht="16">
      <c r="A161" s="9" t="s">
        <v>339</v>
      </c>
      <c r="B161" s="12" t="s">
        <v>630</v>
      </c>
      <c r="C161" s="2" t="s">
        <v>764</v>
      </c>
      <c r="D161" s="2" t="str">
        <f>VLOOKUP(使用保障活动清单!C161,基本保障活动列表库!C:D,2,0)</f>
        <v>Z20-声纳任务系统通电检查</v>
      </c>
      <c r="E161" t="str">
        <f t="shared" si="5"/>
        <v>j112</v>
      </c>
      <c r="F161" s="2">
        <f>VLOOKUP(C162,基本保障活动列表库!C:E,3,0)</f>
        <v>10</v>
      </c>
    </row>
    <row r="162" spans="1:6" ht="16">
      <c r="A162" s="9" t="s">
        <v>339</v>
      </c>
      <c r="B162" s="12" t="s">
        <v>630</v>
      </c>
      <c r="C162" s="14" t="s">
        <v>765</v>
      </c>
      <c r="D162" s="2" t="str">
        <f>VLOOKUP(使用保障活动清单!C162,基本保障活动列表库!C:D,2,0)</f>
        <v>Z20-声纳任务系统数据加载</v>
      </c>
      <c r="E162" t="str">
        <f t="shared" si="5"/>
        <v>j112</v>
      </c>
      <c r="F162" s="2">
        <f>VLOOKUP(C163,基本保障活动列表库!C:E,3,0)</f>
        <v>6</v>
      </c>
    </row>
    <row r="163" spans="1:6" ht="16">
      <c r="A163" s="9" t="s">
        <v>339</v>
      </c>
      <c r="B163" s="12" t="s">
        <v>630</v>
      </c>
      <c r="C163" s="2" t="s">
        <v>770</v>
      </c>
      <c r="D163" s="2" t="str">
        <f>VLOOKUP(使用保障活动清单!C163,基本保障活动列表库!C:D,2,0)</f>
        <v>Z20-飞参数据下载</v>
      </c>
      <c r="E163" t="str">
        <f t="shared" si="5"/>
        <v>j112</v>
      </c>
      <c r="F163" s="2">
        <f>VLOOKUP(C164,基本保障活动列表库!C:E,3,0)</f>
        <v>2</v>
      </c>
    </row>
    <row r="164" spans="1:6" ht="15" customHeight="1">
      <c r="A164" s="9" t="s">
        <v>339</v>
      </c>
      <c r="B164" s="12" t="s">
        <v>630</v>
      </c>
      <c r="C164" s="14" t="s">
        <v>767</v>
      </c>
      <c r="D164" s="2" t="str">
        <f>VLOOKUP(使用保障活动清单!C164,基本保障活动列表库!C:D,2,0)</f>
        <v>Z20-装填干扰弹（按需）</v>
      </c>
      <c r="E164" t="str">
        <f t="shared" si="5"/>
        <v>j112</v>
      </c>
      <c r="F164" s="2">
        <f>VLOOKUP(C164,基本保障活动列表库!C:E,3,0)</f>
        <v>2</v>
      </c>
    </row>
    <row r="165" spans="1:6" ht="16">
      <c r="A165" s="9" t="s">
        <v>339</v>
      </c>
      <c r="B165" s="12" t="s">
        <v>630</v>
      </c>
      <c r="C165" s="14" t="s">
        <v>768</v>
      </c>
      <c r="D165" s="2" t="str">
        <f>VLOOKUP(使用保障活动清单!C165,基本保障活动列表库!C:D,2,0)</f>
        <v>Z20-根据飞行任务装挂声纳/浮标</v>
      </c>
      <c r="E165" t="str">
        <f t="shared" si="5"/>
        <v>j112</v>
      </c>
      <c r="F165" s="2">
        <f>VLOOKUP(C165,基本保障活动列表库!C:E,3,0)</f>
        <v>20</v>
      </c>
    </row>
    <row r="166" spans="1:6" ht="15" customHeight="1">
      <c r="A166" s="9" t="s">
        <v>339</v>
      </c>
      <c r="B166" s="12" t="s">
        <v>629</v>
      </c>
      <c r="C166" s="2" t="s">
        <v>771</v>
      </c>
      <c r="D166" s="2" t="str">
        <f>VLOOKUP(使用保障活动清单!C166,基本保障活动列表库!C:D,2,0)</f>
        <v>Z20-机械外观检查_飞行后</v>
      </c>
      <c r="F166" s="2">
        <f>VLOOKUP(C166,基本保障活动列表库!C:E,3,0)</f>
        <v>12</v>
      </c>
    </row>
    <row r="167" spans="1:6" ht="16">
      <c r="A167" s="9" t="s">
        <v>339</v>
      </c>
      <c r="B167" s="12" t="s">
        <v>629</v>
      </c>
      <c r="C167" s="14" t="s">
        <v>772</v>
      </c>
      <c r="D167" s="2" t="str">
        <f>VLOOKUP(使用保障活动清单!C167,基本保障活动列表库!C:D,2,0)</f>
        <v>Z20-归还敌我识别卡</v>
      </c>
      <c r="E167" t="str">
        <f>C166</f>
        <v>j128</v>
      </c>
      <c r="F167" s="2">
        <f>VLOOKUP(C167,基本保障活动列表库!C:E,3,0)</f>
        <v>1</v>
      </c>
    </row>
    <row r="168" spans="1:6" ht="16">
      <c r="A168" s="9" t="s">
        <v>339</v>
      </c>
      <c r="B168" s="12" t="s">
        <v>629</v>
      </c>
      <c r="C168" s="2" t="s">
        <v>770</v>
      </c>
      <c r="D168" s="2" t="str">
        <f>VLOOKUP(使用保障活动清单!C168,基本保障活动列表库!C:D,2,0)</f>
        <v>Z20-飞参数据下载</v>
      </c>
      <c r="E168" t="str">
        <f t="shared" si="5"/>
        <v>j128</v>
      </c>
      <c r="F168" s="2">
        <f>VLOOKUP(C168,基本保障活动列表库!C:E,3,0)</f>
        <v>6</v>
      </c>
    </row>
    <row r="169" spans="1:6" ht="16">
      <c r="A169" s="9" t="s">
        <v>339</v>
      </c>
      <c r="B169" s="12" t="s">
        <v>629</v>
      </c>
      <c r="C169" s="14" t="s">
        <v>773</v>
      </c>
      <c r="D169" s="2" t="str">
        <f>VLOOKUP(使用保障活动清单!C169,基本保障活动列表库!C:D,2,0)</f>
        <v>Z20-启动液压电动泵，旋翼、尾梁收回</v>
      </c>
      <c r="E169" t="str">
        <f t="shared" si="5"/>
        <v>j128</v>
      </c>
      <c r="F169" s="2">
        <f>VLOOKUP(C169,基本保障活动列表库!C:E,3,0)</f>
        <v>2</v>
      </c>
    </row>
    <row r="170" spans="1:6" ht="16">
      <c r="A170" s="9" t="s">
        <v>339</v>
      </c>
      <c r="B170" s="12" t="s">
        <v>629</v>
      </c>
      <c r="C170" s="2" t="s">
        <v>774</v>
      </c>
      <c r="D170" s="2" t="str">
        <f>VLOOKUP(使用保障活动清单!C170,基本保障活动列表库!C:D,2,0)</f>
        <v>Z20-卸弹</v>
      </c>
      <c r="E170" t="str">
        <f t="shared" si="5"/>
        <v>j128</v>
      </c>
      <c r="F170" s="2">
        <f>VLOOKUP(C170,基本保障活动列表库!C:E,3,0)</f>
        <v>8</v>
      </c>
    </row>
    <row r="171" spans="1:6" ht="16">
      <c r="A171" s="9" t="s">
        <v>339</v>
      </c>
      <c r="B171" s="12" t="s">
        <v>629</v>
      </c>
      <c r="C171" s="14" t="s">
        <v>775</v>
      </c>
      <c r="D171" s="2" t="str">
        <f>VLOOKUP(使用保障活动清单!C171,基本保障活动列表库!C:D,2,0)</f>
        <v>Z20-清洗发动机</v>
      </c>
      <c r="E171" t="str">
        <f t="shared" si="5"/>
        <v>j128</v>
      </c>
      <c r="F171" s="2">
        <f>VLOOKUP(C171,基本保障活动列表库!C:E,3,0)</f>
        <v>30</v>
      </c>
    </row>
  </sheetData>
  <autoFilter ref="B1:F1" xr:uid="{00000000-0001-0000-0F00-000000000000}"/>
  <phoneticPr fontId="4" type="noConversion"/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40"/>
  <sheetViews>
    <sheetView zoomScale="125" workbookViewId="0">
      <selection activeCell="M2" sqref="M2"/>
    </sheetView>
  </sheetViews>
  <sheetFormatPr baseColWidth="10" defaultColWidth="9.5" defaultRowHeight="15"/>
  <cols>
    <col min="2" max="2" width="18" customWidth="1"/>
    <col min="3" max="4" width="14" customWidth="1"/>
    <col min="5" max="5" width="12" customWidth="1"/>
    <col min="6" max="6" width="14.5" customWidth="1"/>
    <col min="7" max="8" width="14" customWidth="1"/>
    <col min="9" max="9" width="12" customWidth="1"/>
    <col min="10" max="10" width="14" customWidth="1"/>
    <col min="11" max="11" width="10.6640625" customWidth="1"/>
    <col min="12" max="12" width="13.83203125" customWidth="1"/>
    <col min="13" max="13" width="13" customWidth="1"/>
    <col min="14" max="15" width="22" customWidth="1"/>
    <col min="16" max="16" width="11" customWidth="1"/>
  </cols>
  <sheetData>
    <row r="1" spans="1:16" ht="48">
      <c r="A1" s="4" t="s">
        <v>97</v>
      </c>
      <c r="B1" s="1" t="s">
        <v>247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262</v>
      </c>
      <c r="M1" s="4" t="s">
        <v>637</v>
      </c>
      <c r="N1" s="1" t="s">
        <v>250</v>
      </c>
      <c r="O1" s="1" t="s">
        <v>251</v>
      </c>
      <c r="P1" s="4" t="s">
        <v>743</v>
      </c>
    </row>
    <row r="2" spans="1:16" ht="16">
      <c r="A2" s="9" t="s">
        <v>340</v>
      </c>
      <c r="B2" s="3" t="s">
        <v>741</v>
      </c>
      <c r="C2" s="2">
        <v>8</v>
      </c>
      <c r="D2" s="3"/>
      <c r="E2" s="2"/>
      <c r="F2" s="2"/>
      <c r="G2" s="3" t="s">
        <v>263</v>
      </c>
      <c r="H2" s="2">
        <v>8</v>
      </c>
      <c r="I2" s="2">
        <v>10</v>
      </c>
      <c r="J2" s="3"/>
      <c r="K2" s="2"/>
      <c r="L2" s="2"/>
      <c r="M2" s="2" t="s">
        <v>264</v>
      </c>
      <c r="N2" s="2" t="s">
        <v>265</v>
      </c>
      <c r="O2" s="2"/>
      <c r="P2" s="2">
        <v>40</v>
      </c>
    </row>
    <row r="3" spans="1:16" ht="16">
      <c r="A3" s="9" t="s">
        <v>340</v>
      </c>
      <c r="B3" s="3" t="s">
        <v>741</v>
      </c>
      <c r="C3" s="2">
        <v>8</v>
      </c>
      <c r="D3" s="3"/>
      <c r="E3" s="2"/>
      <c r="F3" s="2"/>
      <c r="G3" s="3" t="s">
        <v>263</v>
      </c>
      <c r="H3" s="2">
        <v>8</v>
      </c>
      <c r="I3" s="2">
        <v>10</v>
      </c>
      <c r="J3" s="3"/>
      <c r="K3" s="2"/>
      <c r="L3" s="2"/>
      <c r="M3" s="2" t="s">
        <v>266</v>
      </c>
      <c r="N3" s="2" t="s">
        <v>267</v>
      </c>
      <c r="O3" s="2" t="str">
        <f>M2</f>
        <v>REP-001</v>
      </c>
      <c r="P3" s="2">
        <v>120</v>
      </c>
    </row>
    <row r="4" spans="1:16" ht="16">
      <c r="A4" s="9" t="s">
        <v>340</v>
      </c>
      <c r="B4" s="3" t="s">
        <v>741</v>
      </c>
      <c r="C4" s="2">
        <v>8</v>
      </c>
      <c r="D4" s="3"/>
      <c r="E4" s="2"/>
      <c r="F4" s="2"/>
      <c r="G4" s="3" t="s">
        <v>263</v>
      </c>
      <c r="H4" s="2">
        <v>8</v>
      </c>
      <c r="I4" s="2">
        <v>10</v>
      </c>
      <c r="J4" s="3"/>
      <c r="K4" s="2"/>
      <c r="L4" s="2"/>
      <c r="M4" s="2" t="s">
        <v>268</v>
      </c>
      <c r="N4" s="2" t="s">
        <v>269</v>
      </c>
      <c r="O4" s="2" t="str">
        <f t="shared" ref="O4:O6" si="0">M3</f>
        <v>REP-002</v>
      </c>
      <c r="P4" s="2">
        <v>45</v>
      </c>
    </row>
    <row r="5" spans="1:16" ht="16">
      <c r="A5" s="9" t="s">
        <v>340</v>
      </c>
      <c r="B5" s="3" t="s">
        <v>741</v>
      </c>
      <c r="C5" s="2">
        <v>8</v>
      </c>
      <c r="D5" s="3"/>
      <c r="E5" s="2"/>
      <c r="F5" s="2"/>
      <c r="G5" s="3" t="s">
        <v>263</v>
      </c>
      <c r="H5" s="2">
        <v>8</v>
      </c>
      <c r="I5" s="2">
        <v>10</v>
      </c>
      <c r="J5" s="3"/>
      <c r="K5" s="2"/>
      <c r="L5" s="2"/>
      <c r="M5" s="2" t="s">
        <v>270</v>
      </c>
      <c r="N5" s="2" t="s">
        <v>271</v>
      </c>
      <c r="O5" s="2" t="str">
        <f t="shared" si="0"/>
        <v>REP-003</v>
      </c>
      <c r="P5" s="2">
        <v>35</v>
      </c>
    </row>
    <row r="6" spans="1:16" ht="16">
      <c r="A6" s="9" t="s">
        <v>340</v>
      </c>
      <c r="B6" s="3" t="s">
        <v>741</v>
      </c>
      <c r="C6" s="2">
        <v>8</v>
      </c>
      <c r="D6" s="3"/>
      <c r="E6" s="2"/>
      <c r="F6" s="2"/>
      <c r="G6" s="3" t="s">
        <v>263</v>
      </c>
      <c r="H6" s="2">
        <v>8</v>
      </c>
      <c r="I6" s="2">
        <v>10</v>
      </c>
      <c r="J6" s="3"/>
      <c r="K6" s="2"/>
      <c r="L6" s="2"/>
      <c r="M6" s="2" t="s">
        <v>272</v>
      </c>
      <c r="N6" s="2" t="s">
        <v>273</v>
      </c>
      <c r="O6" s="2" t="str">
        <f t="shared" si="0"/>
        <v>REP-004</v>
      </c>
      <c r="P6" s="2">
        <v>60</v>
      </c>
    </row>
    <row r="7" spans="1:16" ht="16">
      <c r="A7" s="9" t="s">
        <v>340</v>
      </c>
      <c r="B7" s="3" t="s">
        <v>741</v>
      </c>
      <c r="C7" s="2">
        <v>8</v>
      </c>
      <c r="D7" s="3"/>
      <c r="E7" s="2"/>
      <c r="F7" s="2"/>
      <c r="G7" s="3" t="s">
        <v>263</v>
      </c>
      <c r="H7" s="2">
        <v>8</v>
      </c>
      <c r="I7" s="2">
        <v>10</v>
      </c>
      <c r="J7" s="3"/>
      <c r="K7" s="2"/>
      <c r="L7" s="2"/>
      <c r="M7" s="2" t="s">
        <v>274</v>
      </c>
      <c r="N7" s="2" t="s">
        <v>275</v>
      </c>
      <c r="O7" s="2"/>
      <c r="P7" s="2">
        <v>25</v>
      </c>
    </row>
    <row r="8" spans="1:16" ht="16">
      <c r="A8" s="9" t="s">
        <v>340</v>
      </c>
      <c r="B8" s="3" t="s">
        <v>741</v>
      </c>
      <c r="C8" s="2">
        <v>8</v>
      </c>
      <c r="D8" s="3"/>
      <c r="E8" s="2"/>
      <c r="F8" s="2"/>
      <c r="G8" s="3" t="s">
        <v>263</v>
      </c>
      <c r="H8" s="2">
        <v>8</v>
      </c>
      <c r="I8" s="2">
        <v>10</v>
      </c>
      <c r="J8" s="3"/>
      <c r="K8" s="2"/>
      <c r="L8" s="2"/>
      <c r="M8" s="2" t="s">
        <v>276</v>
      </c>
      <c r="N8" s="2" t="s">
        <v>277</v>
      </c>
      <c r="O8" s="2"/>
      <c r="P8" s="2">
        <v>30</v>
      </c>
    </row>
    <row r="9" spans="1:16" ht="16">
      <c r="A9" s="9" t="s">
        <v>340</v>
      </c>
      <c r="B9" s="2" t="s">
        <v>278</v>
      </c>
      <c r="C9" s="2">
        <v>8</v>
      </c>
      <c r="D9" s="3"/>
      <c r="E9" s="2"/>
      <c r="F9" s="2"/>
      <c r="G9" s="3" t="s">
        <v>263</v>
      </c>
      <c r="H9" s="2">
        <v>50</v>
      </c>
      <c r="I9" s="2">
        <v>10</v>
      </c>
      <c r="J9" s="3"/>
      <c r="K9" s="2"/>
      <c r="L9" s="2"/>
      <c r="M9" s="2" t="s">
        <v>279</v>
      </c>
      <c r="N9" s="2" t="s">
        <v>280</v>
      </c>
      <c r="O9" s="2"/>
      <c r="P9" s="2">
        <v>52</v>
      </c>
    </row>
    <row r="10" spans="1:16" ht="16">
      <c r="A10" s="9" t="s">
        <v>340</v>
      </c>
      <c r="B10" s="2" t="s">
        <v>278</v>
      </c>
      <c r="C10" s="2">
        <v>8</v>
      </c>
      <c r="D10" s="3"/>
      <c r="E10" s="2"/>
      <c r="F10" s="2"/>
      <c r="G10" s="3" t="s">
        <v>263</v>
      </c>
      <c r="H10" s="2">
        <v>50</v>
      </c>
      <c r="I10" s="2">
        <v>10</v>
      </c>
      <c r="J10" s="3"/>
      <c r="K10" s="2"/>
      <c r="L10" s="2"/>
      <c r="M10" s="2" t="s">
        <v>281</v>
      </c>
      <c r="N10" s="2" t="s">
        <v>282</v>
      </c>
      <c r="O10" s="2" t="str">
        <f>M9</f>
        <v>REP-012</v>
      </c>
      <c r="P10" s="2">
        <v>28</v>
      </c>
    </row>
    <row r="11" spans="1:16" ht="16">
      <c r="A11" s="9" t="s">
        <v>340</v>
      </c>
      <c r="B11" s="3" t="s">
        <v>742</v>
      </c>
      <c r="C11" s="2">
        <v>24</v>
      </c>
      <c r="D11" s="2" t="s">
        <v>263</v>
      </c>
      <c r="E11" s="2">
        <v>7</v>
      </c>
      <c r="F11" s="2">
        <v>0</v>
      </c>
      <c r="G11" s="3"/>
      <c r="H11" s="2"/>
      <c r="I11" s="2"/>
      <c r="J11" s="3"/>
      <c r="K11" s="2"/>
      <c r="L11" s="2"/>
      <c r="M11" s="2" t="s">
        <v>264</v>
      </c>
      <c r="N11" s="2" t="s">
        <v>265</v>
      </c>
      <c r="O11" s="2"/>
      <c r="P11" s="2">
        <v>40</v>
      </c>
    </row>
    <row r="12" spans="1:16" ht="16">
      <c r="A12" s="9" t="s">
        <v>340</v>
      </c>
      <c r="B12" s="3" t="s">
        <v>742</v>
      </c>
      <c r="C12" s="2">
        <v>24</v>
      </c>
      <c r="D12" s="2" t="s">
        <v>263</v>
      </c>
      <c r="E12" s="2">
        <v>7</v>
      </c>
      <c r="F12" s="2">
        <v>0</v>
      </c>
      <c r="G12" s="3"/>
      <c r="H12" s="2"/>
      <c r="I12" s="2"/>
      <c r="J12" s="3"/>
      <c r="K12" s="2"/>
      <c r="L12" s="2"/>
      <c r="M12" s="2" t="s">
        <v>266</v>
      </c>
      <c r="N12" s="2" t="s">
        <v>267</v>
      </c>
      <c r="O12" s="2" t="str">
        <f t="shared" ref="O12:O15" si="1">M11</f>
        <v>REP-001</v>
      </c>
      <c r="P12" s="2">
        <v>120</v>
      </c>
    </row>
    <row r="13" spans="1:16" ht="16">
      <c r="A13" s="9" t="s">
        <v>340</v>
      </c>
      <c r="B13" s="3" t="s">
        <v>742</v>
      </c>
      <c r="C13" s="2">
        <v>24</v>
      </c>
      <c r="D13" s="2" t="s">
        <v>263</v>
      </c>
      <c r="E13" s="2">
        <v>7</v>
      </c>
      <c r="F13" s="2">
        <v>0</v>
      </c>
      <c r="G13" s="3"/>
      <c r="H13" s="2"/>
      <c r="I13" s="2"/>
      <c r="J13" s="3"/>
      <c r="K13" s="2"/>
      <c r="L13" s="2"/>
      <c r="M13" s="2" t="s">
        <v>268</v>
      </c>
      <c r="N13" s="2" t="s">
        <v>269</v>
      </c>
      <c r="O13" s="2" t="str">
        <f t="shared" si="1"/>
        <v>REP-002</v>
      </c>
      <c r="P13" s="2">
        <v>45</v>
      </c>
    </row>
    <row r="14" spans="1:16" ht="16">
      <c r="A14" s="9" t="s">
        <v>340</v>
      </c>
      <c r="B14" s="3" t="s">
        <v>742</v>
      </c>
      <c r="C14" s="2">
        <v>24</v>
      </c>
      <c r="D14" s="2" t="s">
        <v>263</v>
      </c>
      <c r="E14" s="2">
        <v>7</v>
      </c>
      <c r="F14" s="2">
        <v>0</v>
      </c>
      <c r="G14" s="3"/>
      <c r="H14" s="2"/>
      <c r="I14" s="2"/>
      <c r="J14" s="3"/>
      <c r="K14" s="2"/>
      <c r="L14" s="2"/>
      <c r="M14" s="2" t="s">
        <v>270</v>
      </c>
      <c r="N14" s="2" t="s">
        <v>271</v>
      </c>
      <c r="O14" s="2" t="str">
        <f t="shared" si="1"/>
        <v>REP-003</v>
      </c>
      <c r="P14" s="2">
        <v>35</v>
      </c>
    </row>
    <row r="15" spans="1:16" ht="16">
      <c r="A15" s="9" t="s">
        <v>340</v>
      </c>
      <c r="B15" s="3" t="s">
        <v>742</v>
      </c>
      <c r="C15" s="2">
        <v>24</v>
      </c>
      <c r="D15" s="2" t="s">
        <v>263</v>
      </c>
      <c r="E15" s="2">
        <v>7</v>
      </c>
      <c r="F15" s="2">
        <v>0</v>
      </c>
      <c r="G15" s="3"/>
      <c r="H15" s="2"/>
      <c r="I15" s="2"/>
      <c r="J15" s="3"/>
      <c r="K15" s="2"/>
      <c r="L15" s="2"/>
      <c r="M15" s="2" t="s">
        <v>272</v>
      </c>
      <c r="N15" s="2" t="s">
        <v>273</v>
      </c>
      <c r="O15" s="2" t="str">
        <f t="shared" si="1"/>
        <v>REP-004</v>
      </c>
      <c r="P15" s="2">
        <v>60</v>
      </c>
    </row>
    <row r="16" spans="1:16" ht="16">
      <c r="A16" s="9" t="s">
        <v>340</v>
      </c>
      <c r="B16" s="3" t="s">
        <v>742</v>
      </c>
      <c r="C16" s="2">
        <v>24</v>
      </c>
      <c r="D16" s="2" t="s">
        <v>263</v>
      </c>
      <c r="E16" s="2">
        <v>7</v>
      </c>
      <c r="F16" s="2">
        <v>0</v>
      </c>
      <c r="G16" s="3"/>
      <c r="H16" s="2"/>
      <c r="I16" s="2"/>
      <c r="J16" s="3"/>
      <c r="K16" s="2"/>
      <c r="L16" s="2"/>
      <c r="M16" s="2" t="s">
        <v>274</v>
      </c>
      <c r="N16" s="2" t="s">
        <v>275</v>
      </c>
      <c r="O16" s="2"/>
      <c r="P16" s="2">
        <v>25</v>
      </c>
    </row>
    <row r="17" spans="1:16" ht="16">
      <c r="A17" s="9" t="s">
        <v>340</v>
      </c>
      <c r="B17" s="3" t="s">
        <v>742</v>
      </c>
      <c r="C17" s="2">
        <v>24</v>
      </c>
      <c r="D17" s="2" t="s">
        <v>263</v>
      </c>
      <c r="E17" s="2">
        <v>7</v>
      </c>
      <c r="F17" s="2">
        <v>0</v>
      </c>
      <c r="G17" s="3"/>
      <c r="H17" s="2"/>
      <c r="I17" s="2"/>
      <c r="J17" s="3"/>
      <c r="K17" s="2"/>
      <c r="L17" s="2"/>
      <c r="M17" s="2" t="s">
        <v>276</v>
      </c>
      <c r="N17" s="2" t="s">
        <v>277</v>
      </c>
      <c r="O17" s="2"/>
      <c r="P17" s="2">
        <v>30</v>
      </c>
    </row>
    <row r="18" spans="1:16" ht="16">
      <c r="A18" s="9" t="s">
        <v>338</v>
      </c>
      <c r="B18" s="3" t="s">
        <v>278</v>
      </c>
      <c r="C18" s="2">
        <v>8</v>
      </c>
      <c r="D18" s="3"/>
      <c r="E18" s="2"/>
      <c r="F18" s="2"/>
      <c r="G18" s="3" t="s">
        <v>263</v>
      </c>
      <c r="H18" s="2">
        <v>50</v>
      </c>
      <c r="I18" s="2">
        <v>10</v>
      </c>
      <c r="J18" s="3"/>
      <c r="K18" s="2"/>
      <c r="L18" s="2"/>
      <c r="M18" s="2" t="s">
        <v>264</v>
      </c>
      <c r="N18" s="2" t="s">
        <v>265</v>
      </c>
      <c r="O18" s="2"/>
      <c r="P18" s="2">
        <v>40</v>
      </c>
    </row>
    <row r="19" spans="1:16" ht="16">
      <c r="A19" s="9" t="s">
        <v>338</v>
      </c>
      <c r="B19" s="3" t="s">
        <v>278</v>
      </c>
      <c r="C19" s="2">
        <v>8</v>
      </c>
      <c r="D19" s="3"/>
      <c r="E19" s="2"/>
      <c r="F19" s="2"/>
      <c r="G19" s="3" t="s">
        <v>263</v>
      </c>
      <c r="H19" s="2">
        <v>50</v>
      </c>
      <c r="I19" s="2">
        <v>10</v>
      </c>
      <c r="J19" s="3"/>
      <c r="K19" s="2"/>
      <c r="L19" s="2"/>
      <c r="M19" s="2" t="s">
        <v>266</v>
      </c>
      <c r="N19" s="2" t="s">
        <v>267</v>
      </c>
      <c r="O19" s="2" t="str">
        <f t="shared" ref="O19:O22" si="2">M18</f>
        <v>REP-001</v>
      </c>
      <c r="P19" s="2">
        <v>120</v>
      </c>
    </row>
    <row r="20" spans="1:16" ht="16">
      <c r="A20" s="9" t="s">
        <v>338</v>
      </c>
      <c r="B20" s="3" t="s">
        <v>278</v>
      </c>
      <c r="C20" s="2">
        <v>8</v>
      </c>
      <c r="D20" s="3"/>
      <c r="E20" s="2"/>
      <c r="F20" s="2"/>
      <c r="G20" s="3" t="s">
        <v>263</v>
      </c>
      <c r="H20" s="2">
        <v>50</v>
      </c>
      <c r="I20" s="2">
        <v>10</v>
      </c>
      <c r="J20" s="3"/>
      <c r="K20" s="2"/>
      <c r="L20" s="2"/>
      <c r="M20" s="2" t="s">
        <v>268</v>
      </c>
      <c r="N20" s="2" t="s">
        <v>269</v>
      </c>
      <c r="O20" s="2" t="str">
        <f t="shared" si="2"/>
        <v>REP-002</v>
      </c>
      <c r="P20" s="2">
        <v>45</v>
      </c>
    </row>
    <row r="21" spans="1:16" ht="16">
      <c r="A21" s="9" t="s">
        <v>338</v>
      </c>
      <c r="B21" s="3" t="s">
        <v>278</v>
      </c>
      <c r="C21" s="2">
        <v>8</v>
      </c>
      <c r="D21" s="3"/>
      <c r="E21" s="2"/>
      <c r="F21" s="2"/>
      <c r="G21" s="3" t="s">
        <v>263</v>
      </c>
      <c r="H21" s="2">
        <v>50</v>
      </c>
      <c r="I21" s="2">
        <v>10</v>
      </c>
      <c r="J21" s="3"/>
      <c r="K21" s="2"/>
      <c r="L21" s="2"/>
      <c r="M21" s="2" t="s">
        <v>270</v>
      </c>
      <c r="N21" s="2" t="s">
        <v>271</v>
      </c>
      <c r="O21" s="2" t="str">
        <f t="shared" si="2"/>
        <v>REP-003</v>
      </c>
      <c r="P21" s="2">
        <v>35</v>
      </c>
    </row>
    <row r="22" spans="1:16" ht="16">
      <c r="A22" s="9" t="s">
        <v>338</v>
      </c>
      <c r="B22" s="3" t="s">
        <v>278</v>
      </c>
      <c r="C22" s="2">
        <v>8</v>
      </c>
      <c r="D22" s="3"/>
      <c r="E22" s="2"/>
      <c r="F22" s="2"/>
      <c r="G22" s="3" t="s">
        <v>263</v>
      </c>
      <c r="H22" s="2">
        <v>50</v>
      </c>
      <c r="I22" s="2">
        <v>10</v>
      </c>
      <c r="J22" s="3"/>
      <c r="K22" s="2"/>
      <c r="L22" s="2"/>
      <c r="M22" s="2" t="s">
        <v>272</v>
      </c>
      <c r="N22" s="2" t="s">
        <v>273</v>
      </c>
      <c r="O22" s="2" t="str">
        <f t="shared" si="2"/>
        <v>REP-004</v>
      </c>
      <c r="P22" s="2">
        <v>60</v>
      </c>
    </row>
    <row r="23" spans="1:16" ht="16">
      <c r="A23" s="9" t="s">
        <v>338</v>
      </c>
      <c r="B23" s="3" t="s">
        <v>278</v>
      </c>
      <c r="C23" s="2">
        <v>8</v>
      </c>
      <c r="D23" s="3"/>
      <c r="E23" s="2"/>
      <c r="F23" s="2"/>
      <c r="G23" s="3" t="s">
        <v>263</v>
      </c>
      <c r="H23" s="2">
        <v>50</v>
      </c>
      <c r="I23" s="2">
        <v>10</v>
      </c>
      <c r="J23" s="3"/>
      <c r="K23" s="2"/>
      <c r="L23" s="2"/>
      <c r="M23" s="2" t="s">
        <v>274</v>
      </c>
      <c r="N23" s="2" t="s">
        <v>275</v>
      </c>
      <c r="O23" s="2"/>
      <c r="P23" s="2">
        <v>25</v>
      </c>
    </row>
    <row r="24" spans="1:16" ht="16">
      <c r="A24" s="9" t="s">
        <v>338</v>
      </c>
      <c r="B24" s="3" t="s">
        <v>278</v>
      </c>
      <c r="C24" s="2">
        <v>8</v>
      </c>
      <c r="D24" s="3"/>
      <c r="E24" s="2"/>
      <c r="F24" s="2"/>
      <c r="G24" s="3" t="s">
        <v>263</v>
      </c>
      <c r="H24" s="2">
        <v>50</v>
      </c>
      <c r="I24" s="2">
        <v>10</v>
      </c>
      <c r="J24" s="3"/>
      <c r="K24" s="2"/>
      <c r="L24" s="2"/>
      <c r="M24" s="2" t="s">
        <v>276</v>
      </c>
      <c r="N24" s="2" t="s">
        <v>277</v>
      </c>
      <c r="O24" s="2"/>
      <c r="P24" s="2">
        <v>30</v>
      </c>
    </row>
    <row r="25" spans="1:16" ht="16">
      <c r="A25" s="9" t="s">
        <v>338</v>
      </c>
      <c r="B25" s="3" t="s">
        <v>742</v>
      </c>
      <c r="C25" s="2">
        <v>24</v>
      </c>
      <c r="D25" s="2" t="s">
        <v>263</v>
      </c>
      <c r="E25" s="2">
        <v>7</v>
      </c>
      <c r="F25" s="2">
        <v>0</v>
      </c>
      <c r="G25" s="3"/>
      <c r="H25" s="2"/>
      <c r="I25" s="2"/>
      <c r="J25" s="3"/>
      <c r="K25" s="2"/>
      <c r="L25" s="2"/>
      <c r="M25" s="2" t="s">
        <v>264</v>
      </c>
      <c r="N25" s="2" t="s">
        <v>265</v>
      </c>
      <c r="O25" s="2"/>
      <c r="P25" s="2">
        <v>40</v>
      </c>
    </row>
    <row r="26" spans="1:16" ht="16">
      <c r="A26" s="9" t="s">
        <v>338</v>
      </c>
      <c r="B26" s="3" t="s">
        <v>742</v>
      </c>
      <c r="C26" s="2">
        <v>24</v>
      </c>
      <c r="D26" s="2" t="s">
        <v>263</v>
      </c>
      <c r="E26" s="2">
        <v>7</v>
      </c>
      <c r="F26" s="2">
        <v>0</v>
      </c>
      <c r="G26" s="3"/>
      <c r="H26" s="2"/>
      <c r="I26" s="2"/>
      <c r="J26" s="3"/>
      <c r="K26" s="2"/>
      <c r="L26" s="2"/>
      <c r="M26" s="2" t="s">
        <v>266</v>
      </c>
      <c r="N26" s="2" t="s">
        <v>267</v>
      </c>
      <c r="O26" s="2" t="str">
        <f t="shared" ref="O26:O29" si="3">M25</f>
        <v>REP-001</v>
      </c>
      <c r="P26" s="2">
        <v>120</v>
      </c>
    </row>
    <row r="27" spans="1:16" ht="16">
      <c r="A27" s="9" t="s">
        <v>338</v>
      </c>
      <c r="B27" s="3" t="s">
        <v>742</v>
      </c>
      <c r="C27" s="2">
        <v>24</v>
      </c>
      <c r="D27" s="2" t="s">
        <v>263</v>
      </c>
      <c r="E27" s="2">
        <v>7</v>
      </c>
      <c r="F27" s="2">
        <v>0</v>
      </c>
      <c r="G27" s="3"/>
      <c r="H27" s="2"/>
      <c r="I27" s="2"/>
      <c r="J27" s="3"/>
      <c r="K27" s="2"/>
      <c r="L27" s="2"/>
      <c r="M27" s="2" t="s">
        <v>268</v>
      </c>
      <c r="N27" s="2" t="s">
        <v>269</v>
      </c>
      <c r="O27" s="2" t="str">
        <f t="shared" si="3"/>
        <v>REP-002</v>
      </c>
      <c r="P27" s="2">
        <v>45</v>
      </c>
    </row>
    <row r="28" spans="1:16" ht="16">
      <c r="A28" s="9" t="s">
        <v>338</v>
      </c>
      <c r="B28" s="3" t="s">
        <v>742</v>
      </c>
      <c r="C28" s="2">
        <v>24</v>
      </c>
      <c r="D28" s="2" t="s">
        <v>263</v>
      </c>
      <c r="E28" s="2">
        <v>7</v>
      </c>
      <c r="F28" s="2">
        <v>0</v>
      </c>
      <c r="G28" s="3"/>
      <c r="H28" s="2"/>
      <c r="I28" s="2"/>
      <c r="J28" s="3"/>
      <c r="K28" s="2"/>
      <c r="L28" s="2"/>
      <c r="M28" s="2" t="s">
        <v>270</v>
      </c>
      <c r="N28" s="2" t="s">
        <v>271</v>
      </c>
      <c r="O28" s="2" t="str">
        <f t="shared" si="3"/>
        <v>REP-003</v>
      </c>
      <c r="P28" s="2">
        <v>35</v>
      </c>
    </row>
    <row r="29" spans="1:16" ht="16">
      <c r="A29" s="9" t="s">
        <v>338</v>
      </c>
      <c r="B29" s="3" t="s">
        <v>742</v>
      </c>
      <c r="C29" s="2">
        <v>24</v>
      </c>
      <c r="D29" s="2" t="s">
        <v>263</v>
      </c>
      <c r="E29" s="2">
        <v>7</v>
      </c>
      <c r="F29" s="2">
        <v>0</v>
      </c>
      <c r="G29" s="3"/>
      <c r="H29" s="2"/>
      <c r="I29" s="2"/>
      <c r="J29" s="3"/>
      <c r="K29" s="2"/>
      <c r="L29" s="2"/>
      <c r="M29" s="2" t="s">
        <v>272</v>
      </c>
      <c r="N29" s="2" t="s">
        <v>273</v>
      </c>
      <c r="O29" s="2" t="str">
        <f t="shared" si="3"/>
        <v>REP-004</v>
      </c>
      <c r="P29" s="2">
        <v>60</v>
      </c>
    </row>
    <row r="30" spans="1:16" ht="16">
      <c r="A30" s="9" t="s">
        <v>338</v>
      </c>
      <c r="B30" s="3" t="s">
        <v>742</v>
      </c>
      <c r="C30" s="2">
        <v>24</v>
      </c>
      <c r="D30" s="2" t="s">
        <v>263</v>
      </c>
      <c r="E30" s="2">
        <v>7</v>
      </c>
      <c r="F30" s="2">
        <v>0</v>
      </c>
      <c r="G30" s="3"/>
      <c r="H30" s="2"/>
      <c r="I30" s="2"/>
      <c r="J30" s="3"/>
      <c r="K30" s="2"/>
      <c r="L30" s="2"/>
      <c r="M30" s="2" t="s">
        <v>274</v>
      </c>
      <c r="N30" s="2" t="s">
        <v>275</v>
      </c>
      <c r="O30" s="2"/>
      <c r="P30" s="2">
        <v>25</v>
      </c>
    </row>
    <row r="31" spans="1:16" ht="16">
      <c r="A31" s="9" t="s">
        <v>338</v>
      </c>
      <c r="B31" s="3" t="s">
        <v>742</v>
      </c>
      <c r="C31" s="2">
        <v>24</v>
      </c>
      <c r="D31" s="2" t="s">
        <v>263</v>
      </c>
      <c r="E31" s="2">
        <v>7</v>
      </c>
      <c r="F31" s="2">
        <v>0</v>
      </c>
      <c r="G31" s="3"/>
      <c r="H31" s="2"/>
      <c r="I31" s="2"/>
      <c r="J31" s="3"/>
      <c r="K31" s="2"/>
      <c r="L31" s="2"/>
      <c r="M31" s="2" t="s">
        <v>276</v>
      </c>
      <c r="N31" s="2" t="s">
        <v>277</v>
      </c>
      <c r="O31" s="2"/>
      <c r="P31" s="2">
        <v>30</v>
      </c>
    </row>
    <row r="32" spans="1:16" ht="16">
      <c r="A32" s="9" t="s">
        <v>337</v>
      </c>
      <c r="B32" s="3" t="s">
        <v>741</v>
      </c>
      <c r="C32" s="2">
        <v>8</v>
      </c>
      <c r="D32" s="3"/>
      <c r="E32" s="2"/>
      <c r="F32" s="2"/>
      <c r="G32" s="3" t="s">
        <v>263</v>
      </c>
      <c r="H32" s="2">
        <v>25</v>
      </c>
      <c r="I32" s="2">
        <v>10</v>
      </c>
      <c r="J32" s="3"/>
      <c r="K32" s="2"/>
      <c r="L32" s="2"/>
      <c r="M32" s="2" t="s">
        <v>279</v>
      </c>
      <c r="N32" s="2" t="s">
        <v>280</v>
      </c>
      <c r="O32" s="2"/>
      <c r="P32" s="2">
        <v>52</v>
      </c>
    </row>
    <row r="33" spans="1:16" ht="16">
      <c r="A33" s="9" t="s">
        <v>337</v>
      </c>
      <c r="B33" s="3" t="s">
        <v>741</v>
      </c>
      <c r="C33" s="2">
        <v>8</v>
      </c>
      <c r="D33" s="3"/>
      <c r="E33" s="2"/>
      <c r="F33" s="2"/>
      <c r="G33" s="3" t="s">
        <v>263</v>
      </c>
      <c r="H33" s="2">
        <v>25</v>
      </c>
      <c r="I33" s="2">
        <v>10</v>
      </c>
      <c r="J33" s="3"/>
      <c r="K33" s="2"/>
      <c r="L33" s="2"/>
      <c r="M33" s="2" t="s">
        <v>281</v>
      </c>
      <c r="N33" s="2" t="s">
        <v>282</v>
      </c>
      <c r="O33" s="2" t="str">
        <f>M32</f>
        <v>REP-012</v>
      </c>
      <c r="P33" s="2">
        <v>28</v>
      </c>
    </row>
    <row r="34" spans="1:16" ht="16">
      <c r="A34" s="9" t="s">
        <v>337</v>
      </c>
      <c r="B34" s="3" t="s">
        <v>741</v>
      </c>
      <c r="C34" s="2">
        <v>8</v>
      </c>
      <c r="D34" s="3"/>
      <c r="E34" s="2"/>
      <c r="F34" s="2"/>
      <c r="G34" s="3" t="s">
        <v>263</v>
      </c>
      <c r="H34" s="2">
        <v>25</v>
      </c>
      <c r="I34" s="2">
        <v>10</v>
      </c>
      <c r="J34" s="3"/>
      <c r="K34" s="2"/>
      <c r="L34" s="2"/>
      <c r="M34" s="2" t="s">
        <v>264</v>
      </c>
      <c r="N34" s="2" t="s">
        <v>265</v>
      </c>
      <c r="O34" s="2"/>
      <c r="P34" s="2">
        <v>40</v>
      </c>
    </row>
    <row r="35" spans="1:16" ht="16">
      <c r="A35" s="9" t="s">
        <v>337</v>
      </c>
      <c r="B35" s="3" t="s">
        <v>741</v>
      </c>
      <c r="C35" s="2">
        <v>8</v>
      </c>
      <c r="D35" s="3"/>
      <c r="E35" s="2"/>
      <c r="F35" s="2"/>
      <c r="G35" s="3" t="s">
        <v>263</v>
      </c>
      <c r="H35" s="2">
        <v>25</v>
      </c>
      <c r="I35" s="2">
        <v>10</v>
      </c>
      <c r="J35" s="3"/>
      <c r="K35" s="2"/>
      <c r="L35" s="2"/>
      <c r="M35" s="2" t="s">
        <v>266</v>
      </c>
      <c r="N35" s="2" t="s">
        <v>267</v>
      </c>
      <c r="O35" s="2" t="str">
        <f t="shared" ref="O35:O38" si="4">M34</f>
        <v>REP-001</v>
      </c>
      <c r="P35" s="2">
        <v>120</v>
      </c>
    </row>
    <row r="36" spans="1:16" ht="16">
      <c r="A36" s="9" t="s">
        <v>337</v>
      </c>
      <c r="B36" s="3" t="s">
        <v>741</v>
      </c>
      <c r="C36" s="2">
        <v>8</v>
      </c>
      <c r="D36" s="3"/>
      <c r="E36" s="2"/>
      <c r="F36" s="2"/>
      <c r="G36" s="3" t="s">
        <v>263</v>
      </c>
      <c r="H36" s="2">
        <v>25</v>
      </c>
      <c r="I36" s="2">
        <v>10</v>
      </c>
      <c r="J36" s="3"/>
      <c r="K36" s="2"/>
      <c r="L36" s="2"/>
      <c r="M36" s="2" t="s">
        <v>268</v>
      </c>
      <c r="N36" s="2" t="s">
        <v>269</v>
      </c>
      <c r="O36" s="2" t="str">
        <f t="shared" si="4"/>
        <v>REP-002</v>
      </c>
      <c r="P36" s="2">
        <v>45</v>
      </c>
    </row>
    <row r="37" spans="1:16" ht="16">
      <c r="A37" s="9" t="s">
        <v>337</v>
      </c>
      <c r="B37" s="3" t="s">
        <v>741</v>
      </c>
      <c r="C37" s="2">
        <v>8</v>
      </c>
      <c r="D37" s="3"/>
      <c r="E37" s="2"/>
      <c r="F37" s="2"/>
      <c r="G37" s="3" t="s">
        <v>263</v>
      </c>
      <c r="H37" s="2">
        <v>25</v>
      </c>
      <c r="I37" s="2">
        <v>10</v>
      </c>
      <c r="J37" s="3"/>
      <c r="K37" s="2"/>
      <c r="L37" s="2"/>
      <c r="M37" s="2" t="s">
        <v>270</v>
      </c>
      <c r="N37" s="2" t="s">
        <v>271</v>
      </c>
      <c r="O37" s="2" t="str">
        <f t="shared" si="4"/>
        <v>REP-003</v>
      </c>
      <c r="P37" s="2">
        <v>35</v>
      </c>
    </row>
    <row r="38" spans="1:16" ht="16">
      <c r="A38" s="9" t="s">
        <v>337</v>
      </c>
      <c r="B38" s="3" t="s">
        <v>741</v>
      </c>
      <c r="C38" s="2">
        <v>8</v>
      </c>
      <c r="D38" s="3"/>
      <c r="E38" s="2"/>
      <c r="F38" s="2"/>
      <c r="G38" s="3" t="s">
        <v>263</v>
      </c>
      <c r="H38" s="2">
        <v>25</v>
      </c>
      <c r="I38" s="2">
        <v>10</v>
      </c>
      <c r="J38" s="3"/>
      <c r="K38" s="2"/>
      <c r="L38" s="2"/>
      <c r="M38" s="2" t="s">
        <v>272</v>
      </c>
      <c r="N38" s="2" t="s">
        <v>273</v>
      </c>
      <c r="O38" s="2" t="str">
        <f t="shared" si="4"/>
        <v>REP-004</v>
      </c>
      <c r="P38" s="2">
        <v>60</v>
      </c>
    </row>
    <row r="39" spans="1:16" ht="16">
      <c r="A39" s="9" t="s">
        <v>337</v>
      </c>
      <c r="B39" s="3" t="s">
        <v>741</v>
      </c>
      <c r="C39" s="2">
        <v>8</v>
      </c>
      <c r="D39" s="3"/>
      <c r="E39" s="2"/>
      <c r="F39" s="2"/>
      <c r="G39" s="3" t="s">
        <v>263</v>
      </c>
      <c r="H39" s="2">
        <v>25</v>
      </c>
      <c r="I39" s="2">
        <v>10</v>
      </c>
      <c r="J39" s="3"/>
      <c r="K39" s="2"/>
      <c r="L39" s="2"/>
      <c r="M39" s="2" t="s">
        <v>274</v>
      </c>
      <c r="N39" s="2" t="s">
        <v>275</v>
      </c>
      <c r="O39" s="2"/>
      <c r="P39" s="2">
        <v>25</v>
      </c>
    </row>
    <row r="40" spans="1:16" ht="16">
      <c r="A40" s="9" t="s">
        <v>337</v>
      </c>
      <c r="B40" s="3" t="s">
        <v>741</v>
      </c>
      <c r="C40" s="2">
        <v>8</v>
      </c>
      <c r="D40" s="3"/>
      <c r="E40" s="2"/>
      <c r="F40" s="2"/>
      <c r="G40" s="3" t="s">
        <v>263</v>
      </c>
      <c r="H40" s="2">
        <v>25</v>
      </c>
      <c r="I40" s="2">
        <v>10</v>
      </c>
      <c r="J40" s="3"/>
      <c r="K40" s="2"/>
      <c r="L40" s="2"/>
      <c r="M40" s="2" t="s">
        <v>276</v>
      </c>
      <c r="N40" s="2" t="s">
        <v>277</v>
      </c>
      <c r="O40" s="2"/>
      <c r="P40" s="2">
        <v>30</v>
      </c>
    </row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5"/>
  <sheetViews>
    <sheetView zoomScale="183" zoomScaleNormal="100" workbookViewId="0">
      <selection activeCell="A20" sqref="A20"/>
    </sheetView>
  </sheetViews>
  <sheetFormatPr baseColWidth="10" defaultColWidth="9.5" defaultRowHeight="15"/>
  <cols>
    <col min="1" max="1" width="15" customWidth="1"/>
    <col min="2" max="2" width="16" customWidth="1"/>
    <col min="3" max="3" width="21" customWidth="1"/>
    <col min="4" max="4" width="10" customWidth="1"/>
    <col min="5" max="5" width="18" customWidth="1"/>
    <col min="6" max="7" width="22" customWidth="1"/>
    <col min="8" max="8" width="11" customWidth="1"/>
  </cols>
  <sheetData>
    <row r="1" spans="1:8" ht="16">
      <c r="A1" s="4" t="s">
        <v>776</v>
      </c>
      <c r="B1" s="1" t="s">
        <v>288</v>
      </c>
      <c r="C1" s="1" t="s">
        <v>35</v>
      </c>
      <c r="D1" s="1" t="s">
        <v>289</v>
      </c>
      <c r="E1" s="4" t="s">
        <v>637</v>
      </c>
      <c r="F1" s="1" t="s">
        <v>250</v>
      </c>
      <c r="G1" s="4" t="s">
        <v>624</v>
      </c>
      <c r="H1" s="1" t="s">
        <v>252</v>
      </c>
    </row>
    <row r="2" spans="1:8" ht="16">
      <c r="A2" s="2" t="s">
        <v>44</v>
      </c>
      <c r="B2" s="2" t="s">
        <v>43</v>
      </c>
      <c r="C2" s="2">
        <v>30</v>
      </c>
      <c r="D2" s="2" t="s">
        <v>290</v>
      </c>
      <c r="E2" s="2" t="s">
        <v>264</v>
      </c>
      <c r="F2" s="9" t="s">
        <v>793</v>
      </c>
      <c r="G2" s="2"/>
      <c r="H2" s="2">
        <v>40</v>
      </c>
    </row>
    <row r="3" spans="1:8" ht="16">
      <c r="A3" s="2" t="s">
        <v>46</v>
      </c>
      <c r="B3" s="2" t="s">
        <v>45</v>
      </c>
      <c r="C3" s="2">
        <v>30</v>
      </c>
      <c r="D3" s="2" t="s">
        <v>290</v>
      </c>
      <c r="E3" s="2" t="s">
        <v>266</v>
      </c>
      <c r="F3" s="9" t="s">
        <v>793</v>
      </c>
      <c r="G3" s="2"/>
      <c r="H3" s="2">
        <v>120</v>
      </c>
    </row>
    <row r="4" spans="1:8" ht="16">
      <c r="A4" s="2" t="s">
        <v>48</v>
      </c>
      <c r="B4" s="2" t="s">
        <v>47</v>
      </c>
      <c r="C4" s="2">
        <v>30</v>
      </c>
      <c r="D4" s="2" t="s">
        <v>290</v>
      </c>
      <c r="E4" s="2" t="s">
        <v>268</v>
      </c>
      <c r="F4" s="9" t="s">
        <v>793</v>
      </c>
      <c r="G4" s="2"/>
      <c r="H4" s="2">
        <v>45</v>
      </c>
    </row>
    <row r="5" spans="1:8" ht="16">
      <c r="A5" s="2" t="s">
        <v>52</v>
      </c>
      <c r="B5" s="2" t="s">
        <v>51</v>
      </c>
      <c r="C5" s="2">
        <v>30</v>
      </c>
      <c r="D5" s="2" t="s">
        <v>290</v>
      </c>
      <c r="E5" s="2" t="s">
        <v>270</v>
      </c>
      <c r="F5" s="9" t="s">
        <v>793</v>
      </c>
      <c r="G5" s="2"/>
      <c r="H5" s="2">
        <v>35</v>
      </c>
    </row>
    <row r="6" spans="1:8" ht="16">
      <c r="A6" s="2" t="s">
        <v>54</v>
      </c>
      <c r="B6" s="2" t="s">
        <v>53</v>
      </c>
      <c r="C6" s="2">
        <v>30</v>
      </c>
      <c r="D6" s="2" t="s">
        <v>290</v>
      </c>
      <c r="E6" s="2" t="s">
        <v>272</v>
      </c>
      <c r="F6" s="9" t="s">
        <v>793</v>
      </c>
      <c r="G6" s="2"/>
      <c r="H6" s="2">
        <v>60</v>
      </c>
    </row>
    <row r="7" spans="1:8" ht="16">
      <c r="A7" s="2" t="s">
        <v>58</v>
      </c>
      <c r="B7" s="2" t="s">
        <v>57</v>
      </c>
      <c r="C7" s="2">
        <v>30</v>
      </c>
      <c r="D7" s="2" t="s">
        <v>290</v>
      </c>
      <c r="E7" s="2" t="s">
        <v>274</v>
      </c>
      <c r="F7" s="9" t="s">
        <v>793</v>
      </c>
      <c r="G7" s="2"/>
      <c r="H7" s="2">
        <v>25</v>
      </c>
    </row>
    <row r="8" spans="1:8" ht="16">
      <c r="A8" s="2" t="s">
        <v>60</v>
      </c>
      <c r="B8" s="2" t="s">
        <v>59</v>
      </c>
      <c r="C8" s="2">
        <v>30</v>
      </c>
      <c r="D8" s="2" t="s">
        <v>290</v>
      </c>
      <c r="E8" s="2" t="s">
        <v>276</v>
      </c>
      <c r="F8" s="9" t="s">
        <v>793</v>
      </c>
      <c r="G8" s="2"/>
      <c r="H8" s="2">
        <v>30</v>
      </c>
    </row>
    <row r="9" spans="1:8" ht="16">
      <c r="A9" s="2" t="s">
        <v>64</v>
      </c>
      <c r="B9" s="2" t="s">
        <v>63</v>
      </c>
      <c r="C9" s="2">
        <v>30</v>
      </c>
      <c r="D9" s="2" t="s">
        <v>290</v>
      </c>
      <c r="E9" s="2" t="s">
        <v>283</v>
      </c>
      <c r="F9" s="9" t="s">
        <v>793</v>
      </c>
      <c r="G9" s="2"/>
      <c r="H9" s="2">
        <v>40</v>
      </c>
    </row>
    <row r="10" spans="1:8" ht="16">
      <c r="A10" s="2" t="s">
        <v>66</v>
      </c>
      <c r="B10" s="2" t="s">
        <v>65</v>
      </c>
      <c r="C10" s="2">
        <v>30</v>
      </c>
      <c r="D10" s="2" t="s">
        <v>290</v>
      </c>
      <c r="E10" s="2" t="s">
        <v>284</v>
      </c>
      <c r="F10" s="9" t="s">
        <v>793</v>
      </c>
      <c r="G10" s="2"/>
      <c r="H10" s="2">
        <v>120</v>
      </c>
    </row>
    <row r="11" spans="1:8" ht="16">
      <c r="A11" s="2" t="s">
        <v>70</v>
      </c>
      <c r="B11" s="2" t="s">
        <v>69</v>
      </c>
      <c r="C11" s="2">
        <v>30</v>
      </c>
      <c r="D11" s="2" t="s">
        <v>290</v>
      </c>
      <c r="E11" s="2" t="s">
        <v>286</v>
      </c>
      <c r="F11" s="9" t="s">
        <v>793</v>
      </c>
      <c r="G11" s="2"/>
      <c r="H11" s="2">
        <v>45</v>
      </c>
    </row>
    <row r="12" spans="1:8" ht="16">
      <c r="A12" s="2" t="s">
        <v>72</v>
      </c>
      <c r="B12" s="2" t="s">
        <v>71</v>
      </c>
      <c r="C12" s="2">
        <v>30</v>
      </c>
      <c r="D12" s="2" t="s">
        <v>290</v>
      </c>
      <c r="E12" s="2" t="s">
        <v>287</v>
      </c>
      <c r="F12" s="9" t="s">
        <v>793</v>
      </c>
      <c r="G12" s="2"/>
      <c r="H12" s="2">
        <v>35</v>
      </c>
    </row>
    <row r="13" spans="1:8" ht="16">
      <c r="A13" s="2" t="s">
        <v>76</v>
      </c>
      <c r="B13" s="2" t="s">
        <v>75</v>
      </c>
      <c r="C13" s="2">
        <v>30</v>
      </c>
      <c r="D13" s="2" t="s">
        <v>290</v>
      </c>
      <c r="E13" s="2" t="s">
        <v>279</v>
      </c>
      <c r="F13" s="9" t="s">
        <v>793</v>
      </c>
      <c r="G13" s="2"/>
      <c r="H13" s="2">
        <v>60</v>
      </c>
    </row>
    <row r="14" spans="1:8" ht="16">
      <c r="A14" s="2" t="s">
        <v>78</v>
      </c>
      <c r="B14" s="2" t="s">
        <v>77</v>
      </c>
      <c r="C14" s="2">
        <v>30</v>
      </c>
      <c r="D14" s="2" t="s">
        <v>290</v>
      </c>
      <c r="E14" s="2" t="s">
        <v>281</v>
      </c>
      <c r="F14" s="9" t="s">
        <v>793</v>
      </c>
      <c r="G14" s="2"/>
      <c r="H14" s="2">
        <v>25</v>
      </c>
    </row>
    <row r="15" spans="1:8" ht="16">
      <c r="A15" s="2" t="s">
        <v>82</v>
      </c>
      <c r="B15" s="2" t="s">
        <v>81</v>
      </c>
      <c r="C15" s="2">
        <v>30</v>
      </c>
      <c r="D15" s="2" t="s">
        <v>290</v>
      </c>
      <c r="E15" s="2" t="s">
        <v>285</v>
      </c>
      <c r="F15" s="9" t="s">
        <v>793</v>
      </c>
      <c r="G15" s="2"/>
      <c r="H15" s="2">
        <v>30</v>
      </c>
    </row>
    <row r="16" spans="1:8" ht="16">
      <c r="A16" s="2" t="s">
        <v>84</v>
      </c>
      <c r="B16" s="2" t="s">
        <v>83</v>
      </c>
      <c r="C16" s="2">
        <v>30</v>
      </c>
      <c r="D16" s="2" t="s">
        <v>290</v>
      </c>
      <c r="E16" s="2" t="s">
        <v>777</v>
      </c>
      <c r="F16" s="9" t="s">
        <v>793</v>
      </c>
      <c r="G16" s="2"/>
      <c r="H16" s="2">
        <v>52</v>
      </c>
    </row>
    <row r="17" spans="1:8" ht="16">
      <c r="A17" s="2" t="s">
        <v>88</v>
      </c>
      <c r="B17" s="2" t="s">
        <v>87</v>
      </c>
      <c r="C17" s="2">
        <v>30</v>
      </c>
      <c r="D17" s="2" t="s">
        <v>290</v>
      </c>
      <c r="E17" s="2" t="s">
        <v>778</v>
      </c>
      <c r="F17" s="9" t="s">
        <v>793</v>
      </c>
      <c r="G17" s="2"/>
      <c r="H17" s="2">
        <v>28</v>
      </c>
    </row>
    <row r="18" spans="1:8" ht="16">
      <c r="A18" s="2" t="s">
        <v>90</v>
      </c>
      <c r="B18" s="2" t="s">
        <v>89</v>
      </c>
      <c r="C18" s="2">
        <v>30</v>
      </c>
      <c r="D18" s="2" t="s">
        <v>290</v>
      </c>
      <c r="E18" s="2" t="s">
        <v>779</v>
      </c>
      <c r="F18" s="9" t="s">
        <v>793</v>
      </c>
      <c r="H18" s="21">
        <v>20</v>
      </c>
    </row>
    <row r="19" spans="1:8" ht="16">
      <c r="A19" s="2" t="s">
        <v>94</v>
      </c>
      <c r="B19" s="2" t="s">
        <v>93</v>
      </c>
      <c r="C19" s="2">
        <v>30</v>
      </c>
      <c r="D19" s="2" t="s">
        <v>290</v>
      </c>
      <c r="E19" s="2" t="s">
        <v>780</v>
      </c>
      <c r="F19" s="9" t="s">
        <v>793</v>
      </c>
      <c r="H19" s="21">
        <v>20</v>
      </c>
    </row>
    <row r="20" spans="1:8" ht="16">
      <c r="A20" s="20" t="s">
        <v>96</v>
      </c>
      <c r="B20" s="20" t="s">
        <v>95</v>
      </c>
      <c r="C20" s="20">
        <v>30</v>
      </c>
      <c r="D20" s="20" t="s">
        <v>290</v>
      </c>
      <c r="E20" s="20" t="s">
        <v>781</v>
      </c>
      <c r="F20" s="9" t="s">
        <v>784</v>
      </c>
      <c r="H20" s="12">
        <v>10</v>
      </c>
    </row>
    <row r="21" spans="1:8" ht="16">
      <c r="A21" s="20" t="s">
        <v>96</v>
      </c>
      <c r="B21" s="20" t="s">
        <v>95</v>
      </c>
      <c r="C21" s="20">
        <v>30</v>
      </c>
      <c r="D21" s="20" t="s">
        <v>290</v>
      </c>
      <c r="E21" s="20" t="s">
        <v>788</v>
      </c>
      <c r="F21" s="9" t="s">
        <v>782</v>
      </c>
      <c r="G21" t="str">
        <f>E20</f>
        <v>REP-019</v>
      </c>
      <c r="H21" s="12">
        <v>5</v>
      </c>
    </row>
    <row r="22" spans="1:8" ht="16">
      <c r="A22" s="20" t="s">
        <v>96</v>
      </c>
      <c r="B22" s="20" t="s">
        <v>95</v>
      </c>
      <c r="C22" s="20">
        <v>30</v>
      </c>
      <c r="D22" s="20" t="s">
        <v>290</v>
      </c>
      <c r="E22" s="20" t="s">
        <v>789</v>
      </c>
      <c r="F22" s="9" t="s">
        <v>785</v>
      </c>
      <c r="G22" t="str">
        <f>E21</f>
        <v>REP-020</v>
      </c>
      <c r="H22" s="12">
        <v>10</v>
      </c>
    </row>
    <row r="23" spans="1:8" ht="16">
      <c r="A23" s="20" t="s">
        <v>96</v>
      </c>
      <c r="B23" s="20" t="s">
        <v>95</v>
      </c>
      <c r="C23" s="20">
        <v>30</v>
      </c>
      <c r="D23" s="20" t="s">
        <v>290</v>
      </c>
      <c r="E23" s="20" t="s">
        <v>790</v>
      </c>
      <c r="F23" s="9" t="s">
        <v>786</v>
      </c>
      <c r="G23" t="str">
        <f>E22</f>
        <v>REP-021</v>
      </c>
      <c r="H23" s="12">
        <v>20</v>
      </c>
    </row>
    <row r="24" spans="1:8" ht="16">
      <c r="A24" s="20" t="s">
        <v>96</v>
      </c>
      <c r="B24" s="20" t="s">
        <v>95</v>
      </c>
      <c r="C24" s="20">
        <v>30</v>
      </c>
      <c r="D24" s="20" t="s">
        <v>290</v>
      </c>
      <c r="E24" s="20" t="s">
        <v>791</v>
      </c>
      <c r="F24" s="9" t="s">
        <v>783</v>
      </c>
      <c r="G24" t="str">
        <f>E23</f>
        <v>REP-022</v>
      </c>
      <c r="H24" s="12">
        <v>30</v>
      </c>
    </row>
    <row r="25" spans="1:8" ht="16">
      <c r="A25" s="20" t="s">
        <v>96</v>
      </c>
      <c r="B25" s="20" t="s">
        <v>95</v>
      </c>
      <c r="C25" s="20">
        <v>30</v>
      </c>
      <c r="D25" s="20" t="s">
        <v>290</v>
      </c>
      <c r="E25" s="20" t="s">
        <v>792</v>
      </c>
      <c r="F25" s="9" t="s">
        <v>787</v>
      </c>
      <c r="G25" t="str">
        <f>E24</f>
        <v>REP-023</v>
      </c>
      <c r="H25" s="12">
        <v>10</v>
      </c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133"/>
  <sheetViews>
    <sheetView zoomScale="115" zoomScaleNormal="105" workbookViewId="0">
      <pane xSplit="4" ySplit="1" topLeftCell="E111" activePane="bottomRight" state="frozen"/>
      <selection pane="topRight" activeCell="E1" sqref="E1"/>
      <selection pane="bottomLeft" activeCell="A2" sqref="A2"/>
      <selection pane="bottomRight" activeCell="B114" sqref="B114"/>
    </sheetView>
  </sheetViews>
  <sheetFormatPr baseColWidth="10" defaultColWidth="9.5" defaultRowHeight="15"/>
  <cols>
    <col min="1" max="1" width="10" customWidth="1"/>
    <col min="2" max="2" width="8.6640625" customWidth="1"/>
    <col min="3" max="3" width="13.83203125" customWidth="1"/>
    <col min="4" max="4" width="26.6640625" customWidth="1"/>
    <col min="5" max="5" width="11" customWidth="1"/>
    <col min="6" max="7" width="7.5" customWidth="1"/>
    <col min="8" max="8" width="7.6640625" customWidth="1"/>
    <col min="9" max="9" width="6.83203125" customWidth="1"/>
    <col min="10" max="10" width="6.6640625" customWidth="1"/>
    <col min="11" max="11" width="7.83203125" customWidth="1"/>
    <col min="12" max="12" width="6.33203125" customWidth="1"/>
    <col min="13" max="17" width="7.6640625" customWidth="1"/>
    <col min="18" max="18" width="10.33203125" customWidth="1"/>
    <col min="19" max="19" width="13.33203125" customWidth="1"/>
    <col min="20" max="20" width="12.33203125" customWidth="1"/>
    <col min="21" max="21" width="9" customWidth="1"/>
    <col min="22" max="22" width="16.5" customWidth="1"/>
    <col min="23" max="23" width="10.83203125" customWidth="1"/>
  </cols>
  <sheetData>
    <row r="1" spans="1:23" ht="32">
      <c r="A1" s="1" t="s">
        <v>291</v>
      </c>
      <c r="B1" s="1" t="s">
        <v>292</v>
      </c>
      <c r="C1" s="4" t="s">
        <v>795</v>
      </c>
      <c r="D1" s="4" t="s">
        <v>794</v>
      </c>
      <c r="E1" s="1" t="s">
        <v>252</v>
      </c>
      <c r="F1" s="29" t="s">
        <v>799</v>
      </c>
      <c r="G1" s="29" t="s">
        <v>800</v>
      </c>
      <c r="H1" s="29" t="s">
        <v>796</v>
      </c>
      <c r="I1" s="29" t="s">
        <v>798</v>
      </c>
      <c r="J1" s="29" t="s">
        <v>801</v>
      </c>
      <c r="K1" s="29" t="s">
        <v>802</v>
      </c>
      <c r="L1" s="29" t="s">
        <v>803</v>
      </c>
      <c r="M1" s="29" t="s">
        <v>804</v>
      </c>
      <c r="N1" s="29" t="s">
        <v>807</v>
      </c>
      <c r="O1" s="29" t="s">
        <v>808</v>
      </c>
      <c r="P1" s="29" t="s">
        <v>809</v>
      </c>
      <c r="Q1" s="29" t="s">
        <v>810</v>
      </c>
      <c r="R1" s="4" t="s">
        <v>238</v>
      </c>
      <c r="S1" s="4" t="s">
        <v>811</v>
      </c>
      <c r="T1" s="4" t="s">
        <v>966</v>
      </c>
      <c r="U1" s="4" t="s">
        <v>965</v>
      </c>
      <c r="V1" s="1" t="s">
        <v>293</v>
      </c>
      <c r="W1" s="1" t="s">
        <v>294</v>
      </c>
    </row>
    <row r="2" spans="1:23" ht="16">
      <c r="A2" s="2" t="s">
        <v>295</v>
      </c>
      <c r="B2" s="9" t="s">
        <v>338</v>
      </c>
      <c r="C2" s="2" t="s">
        <v>640</v>
      </c>
      <c r="D2" s="2" t="s">
        <v>1048</v>
      </c>
      <c r="E2" s="25">
        <v>15</v>
      </c>
      <c r="F2" s="28"/>
      <c r="G2" s="28"/>
      <c r="H2" s="28">
        <v>1</v>
      </c>
      <c r="I2" s="28"/>
      <c r="J2" s="28"/>
      <c r="K2" s="28"/>
      <c r="L2" s="28"/>
      <c r="M2" s="28"/>
      <c r="N2" s="28"/>
      <c r="O2" s="28"/>
      <c r="P2" s="28"/>
      <c r="Q2" s="28"/>
      <c r="R2" s="26"/>
      <c r="S2" s="2"/>
      <c r="T2" s="2"/>
      <c r="U2" s="2"/>
      <c r="V2" s="2"/>
      <c r="W2" s="2"/>
    </row>
    <row r="3" spans="1:23" ht="16">
      <c r="A3" s="2" t="s">
        <v>295</v>
      </c>
      <c r="B3" s="9" t="s">
        <v>338</v>
      </c>
      <c r="C3" s="2" t="s">
        <v>641</v>
      </c>
      <c r="D3" s="2" t="s">
        <v>1049</v>
      </c>
      <c r="E3" s="2">
        <v>30</v>
      </c>
      <c r="F3" s="27">
        <v>1</v>
      </c>
      <c r="G3" s="30">
        <v>1</v>
      </c>
      <c r="H3" s="30"/>
      <c r="I3" s="30">
        <v>1</v>
      </c>
      <c r="J3" s="30"/>
      <c r="K3" s="30"/>
      <c r="L3" s="30"/>
      <c r="M3" s="30">
        <v>1</v>
      </c>
      <c r="N3" s="30"/>
      <c r="O3" s="30"/>
      <c r="P3" s="30"/>
      <c r="Q3" s="30"/>
      <c r="R3" s="14"/>
      <c r="S3" s="2"/>
      <c r="T3" s="2"/>
      <c r="U3" s="2"/>
      <c r="V3" s="2"/>
      <c r="W3" s="2"/>
    </row>
    <row r="4" spans="1:23" ht="16">
      <c r="A4" s="2" t="s">
        <v>295</v>
      </c>
      <c r="B4" s="9" t="s">
        <v>338</v>
      </c>
      <c r="C4" s="2" t="s">
        <v>642</v>
      </c>
      <c r="D4" s="2" t="s">
        <v>1050</v>
      </c>
      <c r="E4" s="2">
        <v>10</v>
      </c>
      <c r="F4" s="22"/>
      <c r="G4" s="8"/>
      <c r="H4" s="8"/>
      <c r="I4" s="8">
        <v>1</v>
      </c>
      <c r="J4" s="8"/>
      <c r="K4" s="8"/>
      <c r="L4" s="8"/>
      <c r="M4" s="8"/>
      <c r="N4" s="8"/>
      <c r="O4" s="8"/>
      <c r="P4" s="8"/>
      <c r="Q4" s="8"/>
      <c r="R4" s="15" t="s">
        <v>797</v>
      </c>
      <c r="S4" s="10" t="s">
        <v>484</v>
      </c>
      <c r="T4" s="2"/>
      <c r="U4" s="2"/>
      <c r="V4" s="2"/>
      <c r="W4" s="2"/>
    </row>
    <row r="5" spans="1:23" ht="16">
      <c r="A5" s="2" t="s">
        <v>295</v>
      </c>
      <c r="B5" s="9" t="s">
        <v>338</v>
      </c>
      <c r="C5" s="2" t="s">
        <v>643</v>
      </c>
      <c r="D5" s="2" t="s">
        <v>1051</v>
      </c>
      <c r="E5" s="2">
        <v>10</v>
      </c>
      <c r="F5" s="2"/>
      <c r="G5" s="23"/>
      <c r="H5" s="23"/>
      <c r="I5" s="23"/>
      <c r="J5" s="23"/>
      <c r="K5" s="23">
        <v>1</v>
      </c>
      <c r="L5" s="23"/>
      <c r="M5" s="23"/>
      <c r="N5" s="23"/>
      <c r="O5" s="23"/>
      <c r="P5" s="23"/>
      <c r="Q5" s="23"/>
      <c r="R5" s="23"/>
      <c r="S5" s="2"/>
      <c r="T5" s="2"/>
      <c r="U5" s="2"/>
      <c r="V5" s="2"/>
      <c r="W5" s="2"/>
    </row>
    <row r="6" spans="1:23" ht="48">
      <c r="A6" s="2" t="s">
        <v>295</v>
      </c>
      <c r="B6" s="9" t="s">
        <v>338</v>
      </c>
      <c r="C6" s="2" t="s">
        <v>644</v>
      </c>
      <c r="D6" s="2" t="s">
        <v>1052</v>
      </c>
      <c r="E6" s="2">
        <v>60</v>
      </c>
      <c r="F6" s="2"/>
      <c r="G6" s="2"/>
      <c r="H6" s="2"/>
      <c r="I6" s="2"/>
      <c r="J6" s="2">
        <v>1</v>
      </c>
      <c r="K6" s="2"/>
      <c r="L6" s="2"/>
      <c r="M6" s="2"/>
      <c r="N6" s="2"/>
      <c r="O6" s="2"/>
      <c r="P6" s="2"/>
      <c r="Q6" s="2"/>
      <c r="R6" s="2" t="s">
        <v>297</v>
      </c>
      <c r="S6" s="2" t="s">
        <v>708</v>
      </c>
      <c r="T6" s="3" t="s">
        <v>968</v>
      </c>
      <c r="U6" s="3">
        <v>2</v>
      </c>
      <c r="V6" s="3" t="s">
        <v>964</v>
      </c>
      <c r="W6" s="2"/>
    </row>
    <row r="7" spans="1:23" ht="16">
      <c r="A7" s="2" t="s">
        <v>295</v>
      </c>
      <c r="B7" s="9" t="s">
        <v>338</v>
      </c>
      <c r="C7" s="2" t="s">
        <v>645</v>
      </c>
      <c r="D7" s="2" t="s">
        <v>1053</v>
      </c>
      <c r="E7" s="2">
        <v>2</v>
      </c>
      <c r="F7" s="2"/>
      <c r="G7" s="2"/>
      <c r="H7" s="2"/>
      <c r="I7" s="2"/>
      <c r="J7" s="2"/>
      <c r="K7" s="2"/>
      <c r="L7" s="2"/>
      <c r="M7" s="2">
        <v>1</v>
      </c>
      <c r="N7" s="2"/>
      <c r="O7" s="2"/>
      <c r="P7" s="2"/>
      <c r="Q7" s="2"/>
      <c r="R7" s="2" t="s">
        <v>797</v>
      </c>
      <c r="S7" s="2" t="s">
        <v>23</v>
      </c>
      <c r="T7" s="2" t="s">
        <v>876</v>
      </c>
      <c r="U7" s="2">
        <v>1</v>
      </c>
      <c r="V7" s="2"/>
      <c r="W7" s="2"/>
    </row>
    <row r="8" spans="1:23" ht="16">
      <c r="A8" s="2" t="s">
        <v>295</v>
      </c>
      <c r="B8" s="9" t="s">
        <v>338</v>
      </c>
      <c r="C8" s="2" t="s">
        <v>646</v>
      </c>
      <c r="D8" s="2" t="s">
        <v>1054</v>
      </c>
      <c r="E8" s="2">
        <v>10</v>
      </c>
      <c r="F8" s="2"/>
      <c r="G8" s="2"/>
      <c r="H8" s="2"/>
      <c r="I8" s="2">
        <v>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6">
      <c r="A9" s="2" t="s">
        <v>295</v>
      </c>
      <c r="B9" s="9" t="s">
        <v>338</v>
      </c>
      <c r="C9" s="2" t="s">
        <v>647</v>
      </c>
      <c r="D9" s="2" t="s">
        <v>1055</v>
      </c>
      <c r="E9" s="2">
        <v>20</v>
      </c>
      <c r="F9" s="2"/>
      <c r="G9" s="2"/>
      <c r="H9" s="2"/>
      <c r="I9" s="2">
        <v>1</v>
      </c>
      <c r="J9" s="2"/>
      <c r="K9" s="2">
        <v>1</v>
      </c>
      <c r="L9" s="2"/>
      <c r="M9" s="2">
        <v>1</v>
      </c>
      <c r="N9" s="2"/>
      <c r="O9" s="2"/>
      <c r="P9" s="2"/>
      <c r="Q9" s="2"/>
      <c r="R9" s="2"/>
      <c r="S9" s="2" t="s">
        <v>23</v>
      </c>
      <c r="T9" s="2" t="s">
        <v>975</v>
      </c>
      <c r="U9" s="2">
        <v>1</v>
      </c>
      <c r="V9" s="2"/>
      <c r="W9" s="2"/>
    </row>
    <row r="10" spans="1:23" ht="16">
      <c r="A10" s="2" t="s">
        <v>295</v>
      </c>
      <c r="B10" s="9" t="s">
        <v>338</v>
      </c>
      <c r="C10" s="2" t="s">
        <v>648</v>
      </c>
      <c r="D10" s="2" t="s">
        <v>1056</v>
      </c>
      <c r="E10" s="2">
        <v>10</v>
      </c>
      <c r="F10" s="2"/>
      <c r="G10" s="2"/>
      <c r="H10" s="2"/>
      <c r="I10" s="2"/>
      <c r="J10" s="2"/>
      <c r="K10" s="2">
        <v>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6">
      <c r="A11" s="2" t="s">
        <v>295</v>
      </c>
      <c r="B11" s="9" t="s">
        <v>338</v>
      </c>
      <c r="C11" s="2" t="s">
        <v>649</v>
      </c>
      <c r="D11" s="2" t="s">
        <v>1057</v>
      </c>
      <c r="E11" s="2">
        <v>5</v>
      </c>
      <c r="F11" s="2"/>
      <c r="G11" s="2"/>
      <c r="H11" s="2"/>
      <c r="I11" s="2"/>
      <c r="J11" s="2"/>
      <c r="K11" s="2"/>
      <c r="L11" s="2"/>
      <c r="M11" s="2">
        <v>1</v>
      </c>
      <c r="N11" s="2"/>
      <c r="O11" s="2"/>
      <c r="P11" s="2"/>
      <c r="Q11" s="2"/>
      <c r="R11" s="2" t="s">
        <v>797</v>
      </c>
      <c r="S11" s="2" t="s">
        <v>394</v>
      </c>
      <c r="T11" s="2"/>
      <c r="U11" s="2"/>
      <c r="V11" s="2"/>
      <c r="W11" s="2"/>
    </row>
    <row r="12" spans="1:23" ht="16">
      <c r="A12" s="2" t="s">
        <v>295</v>
      </c>
      <c r="B12" s="9" t="s">
        <v>338</v>
      </c>
      <c r="C12" s="2" t="s">
        <v>650</v>
      </c>
      <c r="D12" s="2" t="s">
        <v>1058</v>
      </c>
      <c r="E12" s="2">
        <v>5</v>
      </c>
      <c r="F12" s="2"/>
      <c r="G12" s="2">
        <v>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 t="s">
        <v>797</v>
      </c>
      <c r="S12" s="2" t="s">
        <v>393</v>
      </c>
      <c r="T12" s="2"/>
      <c r="U12" s="2"/>
      <c r="V12" s="2"/>
      <c r="W12" s="2"/>
    </row>
    <row r="13" spans="1:23" ht="16">
      <c r="A13" s="2" t="s">
        <v>295</v>
      </c>
      <c r="B13" s="9" t="s">
        <v>338</v>
      </c>
      <c r="C13" s="2" t="s">
        <v>651</v>
      </c>
      <c r="D13" s="2" t="s">
        <v>1059</v>
      </c>
      <c r="E13" s="2">
        <v>10</v>
      </c>
      <c r="F13" s="2"/>
      <c r="G13" s="2">
        <v>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 t="s">
        <v>296</v>
      </c>
      <c r="S13" s="2"/>
      <c r="T13" s="2"/>
      <c r="U13" s="2"/>
      <c r="V13" s="2"/>
      <c r="W13" s="2"/>
    </row>
    <row r="14" spans="1:23" ht="16">
      <c r="A14" s="2" t="s">
        <v>295</v>
      </c>
      <c r="B14" s="9" t="s">
        <v>338</v>
      </c>
      <c r="C14" s="2" t="s">
        <v>652</v>
      </c>
      <c r="D14" s="2" t="s">
        <v>1060</v>
      </c>
      <c r="E14" s="2">
        <v>5</v>
      </c>
      <c r="F14" s="2"/>
      <c r="G14" s="2">
        <v>3</v>
      </c>
      <c r="H14" s="2"/>
      <c r="I14" s="2"/>
      <c r="J14" s="2"/>
      <c r="L14" s="2"/>
      <c r="M14" s="2"/>
      <c r="N14" s="2"/>
      <c r="O14" s="2"/>
      <c r="P14" s="2"/>
      <c r="Q14" s="2"/>
      <c r="R14" s="2" t="s">
        <v>978</v>
      </c>
      <c r="S14" s="2"/>
      <c r="T14" s="2"/>
      <c r="U14" s="2"/>
      <c r="V14" s="2"/>
      <c r="W14" s="2"/>
    </row>
    <row r="15" spans="1:23" ht="16">
      <c r="A15" s="2" t="s">
        <v>295</v>
      </c>
      <c r="B15" s="9" t="s">
        <v>338</v>
      </c>
      <c r="C15" s="2" t="s">
        <v>653</v>
      </c>
      <c r="D15" s="2" t="s">
        <v>1061</v>
      </c>
      <c r="E15" s="2">
        <v>5</v>
      </c>
      <c r="F15" s="2"/>
      <c r="G15" s="2">
        <v>3</v>
      </c>
      <c r="H15" s="2"/>
      <c r="I15" s="2"/>
      <c r="J15" s="2"/>
      <c r="L15" s="2"/>
      <c r="M15" s="2"/>
      <c r="N15" s="2"/>
      <c r="O15" s="2"/>
      <c r="P15" s="2"/>
      <c r="Q15" s="2"/>
      <c r="R15" s="2" t="s">
        <v>103</v>
      </c>
      <c r="S15" s="2"/>
      <c r="T15" s="2"/>
      <c r="U15" s="2"/>
      <c r="V15" s="2"/>
      <c r="W15" s="2"/>
    </row>
    <row r="16" spans="1:23" ht="16">
      <c r="A16" s="2" t="s">
        <v>295</v>
      </c>
      <c r="B16" s="9" t="s">
        <v>338</v>
      </c>
      <c r="C16" s="2" t="s">
        <v>654</v>
      </c>
      <c r="D16" s="2" t="s">
        <v>1062</v>
      </c>
      <c r="E16" s="2">
        <v>15</v>
      </c>
      <c r="F16" s="2"/>
      <c r="G16" s="2">
        <v>1</v>
      </c>
      <c r="H16" s="2"/>
      <c r="I16" s="2"/>
      <c r="J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6">
      <c r="A17" s="2" t="s">
        <v>295</v>
      </c>
      <c r="B17" s="9" t="s">
        <v>338</v>
      </c>
      <c r="C17" s="2" t="s">
        <v>655</v>
      </c>
      <c r="D17" s="2" t="s">
        <v>1063</v>
      </c>
      <c r="E17" s="2">
        <v>1</v>
      </c>
      <c r="F17" s="2"/>
      <c r="G17" s="2"/>
      <c r="H17" s="2"/>
      <c r="I17" s="2"/>
      <c r="J17" s="2"/>
      <c r="K17" s="2">
        <v>1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6">
      <c r="A18" s="2" t="s">
        <v>295</v>
      </c>
      <c r="B18" s="9" t="s">
        <v>338</v>
      </c>
      <c r="C18" s="2" t="s">
        <v>656</v>
      </c>
      <c r="D18" s="2" t="s">
        <v>1064</v>
      </c>
      <c r="E18" s="2">
        <v>1</v>
      </c>
      <c r="F18" s="2"/>
      <c r="G18" s="2"/>
      <c r="H18" s="2"/>
      <c r="I18" s="2"/>
      <c r="J18" s="2">
        <v>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6">
      <c r="A19" s="2" t="s">
        <v>295</v>
      </c>
      <c r="B19" s="9" t="s">
        <v>338</v>
      </c>
      <c r="C19" s="2" t="s">
        <v>657</v>
      </c>
      <c r="D19" s="2" t="s">
        <v>1065</v>
      </c>
      <c r="E19" s="2">
        <v>15</v>
      </c>
      <c r="F19" s="2"/>
      <c r="G19" s="2"/>
      <c r="H19" s="2"/>
      <c r="I19" s="2">
        <v>1</v>
      </c>
      <c r="J19" s="2"/>
      <c r="K19" s="2"/>
      <c r="L19" s="2"/>
      <c r="M19" s="2"/>
      <c r="N19" s="2"/>
      <c r="O19" s="2"/>
      <c r="P19" s="2"/>
      <c r="Q19" s="2"/>
      <c r="R19" s="2" t="s">
        <v>797</v>
      </c>
      <c r="S19" s="2" t="s">
        <v>392</v>
      </c>
      <c r="T19" s="2" t="s">
        <v>975</v>
      </c>
      <c r="U19" s="2"/>
      <c r="V19" s="2"/>
      <c r="W19" s="2"/>
    </row>
    <row r="20" spans="1:23" ht="16">
      <c r="A20" s="2" t="s">
        <v>295</v>
      </c>
      <c r="B20" s="9" t="s">
        <v>338</v>
      </c>
      <c r="C20" s="2" t="s">
        <v>658</v>
      </c>
      <c r="D20" s="2" t="s">
        <v>1066</v>
      </c>
      <c r="E20" s="2">
        <v>2</v>
      </c>
      <c r="F20" s="2"/>
      <c r="G20" s="2"/>
      <c r="H20" s="2"/>
      <c r="I20" s="2"/>
      <c r="J20" s="2"/>
      <c r="K20" s="2"/>
      <c r="L20" s="2"/>
      <c r="M20" s="2">
        <v>1</v>
      </c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6">
      <c r="A21" s="2" t="s">
        <v>295</v>
      </c>
      <c r="B21" s="9" t="s">
        <v>338</v>
      </c>
      <c r="C21" s="2" t="s">
        <v>659</v>
      </c>
      <c r="D21" s="2" t="s">
        <v>1067</v>
      </c>
      <c r="E21" s="2">
        <v>5</v>
      </c>
      <c r="F21" s="2">
        <v>1</v>
      </c>
      <c r="G21" s="2">
        <v>1</v>
      </c>
      <c r="H21" s="2"/>
      <c r="I21" s="2">
        <v>1</v>
      </c>
      <c r="J21" s="2"/>
      <c r="K21" s="2"/>
      <c r="L21" s="2"/>
      <c r="M21" s="2">
        <v>1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6">
      <c r="A22" s="2" t="s">
        <v>295</v>
      </c>
      <c r="B22" s="9" t="s">
        <v>338</v>
      </c>
      <c r="C22" s="2" t="s">
        <v>660</v>
      </c>
      <c r="D22" s="2" t="s">
        <v>1068</v>
      </c>
      <c r="E22" s="2">
        <v>3</v>
      </c>
      <c r="F22" s="2">
        <v>1</v>
      </c>
      <c r="G22" s="2">
        <v>1</v>
      </c>
      <c r="H22" s="2"/>
      <c r="I22" s="2">
        <v>1</v>
      </c>
      <c r="J22" s="2"/>
      <c r="K22" s="2"/>
      <c r="L22" s="2"/>
      <c r="M22" s="2">
        <v>1</v>
      </c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6">
      <c r="A23" s="2" t="s">
        <v>295</v>
      </c>
      <c r="B23" s="9" t="s">
        <v>338</v>
      </c>
      <c r="C23" s="2" t="s">
        <v>661</v>
      </c>
      <c r="D23" s="8" t="s">
        <v>1069</v>
      </c>
      <c r="E23" s="2">
        <v>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 t="s">
        <v>979</v>
      </c>
      <c r="S23" s="2"/>
      <c r="T23" s="2"/>
      <c r="U23" s="2"/>
      <c r="V23" s="2"/>
      <c r="W23" s="2"/>
    </row>
    <row r="24" spans="1:23" ht="16">
      <c r="A24" s="2" t="s">
        <v>295</v>
      </c>
      <c r="B24" s="9" t="s">
        <v>338</v>
      </c>
      <c r="C24" s="2" t="s">
        <v>662</v>
      </c>
      <c r="D24" s="12" t="s">
        <v>1070</v>
      </c>
      <c r="E24" s="2">
        <v>20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 t="s">
        <v>980</v>
      </c>
      <c r="S24" s="2"/>
      <c r="T24" s="2"/>
      <c r="U24" s="2"/>
      <c r="V24" s="2"/>
      <c r="W24" s="2"/>
    </row>
    <row r="25" spans="1:23" ht="16">
      <c r="A25" s="2" t="s">
        <v>295</v>
      </c>
      <c r="B25" s="9" t="s">
        <v>338</v>
      </c>
      <c r="C25" s="2" t="s">
        <v>663</v>
      </c>
      <c r="D25" s="12" t="s">
        <v>1071</v>
      </c>
      <c r="E25" s="2">
        <v>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 t="s">
        <v>797</v>
      </c>
      <c r="S25" s="2"/>
      <c r="T25" s="2"/>
      <c r="U25" s="2"/>
      <c r="V25" s="2"/>
      <c r="W25" s="2"/>
    </row>
    <row r="26" spans="1:23" ht="16">
      <c r="A26" s="2" t="s">
        <v>295</v>
      </c>
      <c r="B26" s="9" t="s">
        <v>338</v>
      </c>
      <c r="C26" s="2" t="s">
        <v>664</v>
      </c>
      <c r="D26" s="12" t="s">
        <v>1072</v>
      </c>
      <c r="E26" s="2">
        <v>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 t="s">
        <v>102</v>
      </c>
      <c r="S26" s="2"/>
      <c r="T26" s="2"/>
      <c r="U26" s="2"/>
      <c r="V26" s="2"/>
      <c r="W26" s="2"/>
    </row>
    <row r="27" spans="1:23" ht="16">
      <c r="A27" s="2" t="s">
        <v>295</v>
      </c>
      <c r="B27" s="9" t="s">
        <v>338</v>
      </c>
      <c r="C27" s="2" t="s">
        <v>665</v>
      </c>
      <c r="D27" t="s">
        <v>1073</v>
      </c>
      <c r="E27" s="2">
        <v>20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 t="s">
        <v>980</v>
      </c>
      <c r="S27" s="2"/>
      <c r="T27" s="2"/>
      <c r="U27" s="2"/>
      <c r="V27" s="2"/>
      <c r="W27" s="2"/>
    </row>
    <row r="28" spans="1:23" ht="16">
      <c r="A28" s="2" t="s">
        <v>295</v>
      </c>
      <c r="B28" s="9" t="s">
        <v>338</v>
      </c>
      <c r="C28" s="2" t="s">
        <v>666</v>
      </c>
      <c r="D28" s="2" t="s">
        <v>1171</v>
      </c>
      <c r="E28" s="2">
        <v>5</v>
      </c>
      <c r="F28" s="2"/>
      <c r="G28" s="2"/>
      <c r="H28" s="2"/>
      <c r="I28" s="2">
        <v>1</v>
      </c>
      <c r="J28" s="2"/>
      <c r="K28" s="2"/>
      <c r="L28" s="2"/>
      <c r="M28" s="2"/>
      <c r="N28" s="2"/>
      <c r="O28" s="2"/>
      <c r="P28" s="2"/>
      <c r="Q28" s="2"/>
      <c r="R28" s="2" t="s">
        <v>797</v>
      </c>
      <c r="S28" s="2" t="s">
        <v>484</v>
      </c>
      <c r="T28" s="2"/>
      <c r="U28" s="2"/>
      <c r="V28" s="2"/>
      <c r="W28" s="2"/>
    </row>
    <row r="29" spans="1:23" ht="16">
      <c r="A29" s="2" t="s">
        <v>295</v>
      </c>
      <c r="B29" s="9" t="s">
        <v>338</v>
      </c>
      <c r="C29" s="2" t="s">
        <v>667</v>
      </c>
      <c r="D29" t="s">
        <v>1054</v>
      </c>
      <c r="E29" s="2">
        <v>10</v>
      </c>
      <c r="F29" s="2"/>
      <c r="G29" s="2"/>
      <c r="H29" s="2"/>
      <c r="I29" s="2">
        <v>1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6">
      <c r="A30" s="2" t="s">
        <v>295</v>
      </c>
      <c r="B30" s="9" t="s">
        <v>338</v>
      </c>
      <c r="C30" s="2" t="s">
        <v>668</v>
      </c>
      <c r="D30" s="50" t="s">
        <v>1172</v>
      </c>
      <c r="E30" s="2">
        <v>20</v>
      </c>
      <c r="F30" s="2"/>
      <c r="G30" s="2"/>
      <c r="H30" s="2"/>
      <c r="I30" s="2">
        <v>1</v>
      </c>
      <c r="J30" s="2"/>
      <c r="K30" s="2"/>
      <c r="L30" s="2"/>
      <c r="M30" s="2"/>
      <c r="N30" s="2"/>
      <c r="O30" s="2"/>
      <c r="P30" s="2"/>
      <c r="Q30" s="2"/>
      <c r="R30" s="2" t="s">
        <v>797</v>
      </c>
      <c r="S30" s="2" t="s">
        <v>23</v>
      </c>
      <c r="T30" s="2" t="s">
        <v>975</v>
      </c>
      <c r="U30" s="2"/>
      <c r="V30" s="2"/>
      <c r="W30" s="2"/>
    </row>
    <row r="31" spans="1:23" ht="16">
      <c r="A31" s="2" t="s">
        <v>295</v>
      </c>
      <c r="B31" s="9" t="s">
        <v>338</v>
      </c>
      <c r="C31" s="2" t="s">
        <v>669</v>
      </c>
      <c r="D31" s="2" t="s">
        <v>1075</v>
      </c>
      <c r="E31" s="2">
        <v>1</v>
      </c>
      <c r="F31" s="2"/>
      <c r="G31" s="2"/>
      <c r="H31" s="2"/>
      <c r="I31" s="2"/>
      <c r="J31" s="2"/>
      <c r="K31" s="2">
        <v>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6">
      <c r="A32" s="2" t="s">
        <v>295</v>
      </c>
      <c r="B32" s="9" t="s">
        <v>338</v>
      </c>
      <c r="C32" s="2" t="s">
        <v>670</v>
      </c>
      <c r="D32" s="2" t="s">
        <v>1074</v>
      </c>
      <c r="E32" s="21">
        <v>20</v>
      </c>
      <c r="M32">
        <v>1</v>
      </c>
      <c r="S32" t="s">
        <v>23</v>
      </c>
    </row>
    <row r="33" spans="1:23" ht="16">
      <c r="A33" s="2" t="s">
        <v>295</v>
      </c>
      <c r="B33" s="9" t="s">
        <v>338</v>
      </c>
      <c r="C33" s="2" t="s">
        <v>671</v>
      </c>
      <c r="D33" t="s">
        <v>1076</v>
      </c>
      <c r="E33" s="12">
        <v>30</v>
      </c>
      <c r="F33">
        <v>1</v>
      </c>
    </row>
    <row r="34" spans="1:23" ht="16">
      <c r="A34" s="2" t="s">
        <v>295</v>
      </c>
      <c r="B34" s="9" t="s">
        <v>338</v>
      </c>
      <c r="C34" s="2" t="s">
        <v>672</v>
      </c>
      <c r="D34" t="s">
        <v>1077</v>
      </c>
      <c r="E34" s="12">
        <v>1</v>
      </c>
      <c r="G34">
        <v>1</v>
      </c>
    </row>
    <row r="35" spans="1:23" ht="16">
      <c r="A35" s="2" t="s">
        <v>295</v>
      </c>
      <c r="B35" s="9" t="s">
        <v>338</v>
      </c>
      <c r="C35" s="2" t="s">
        <v>673</v>
      </c>
      <c r="D35" s="2" t="s">
        <v>1078</v>
      </c>
      <c r="E35" s="12">
        <v>1</v>
      </c>
      <c r="F35">
        <v>1</v>
      </c>
    </row>
    <row r="36" spans="1:23" ht="16">
      <c r="A36" s="2" t="s">
        <v>295</v>
      </c>
      <c r="B36" s="9" t="s">
        <v>338</v>
      </c>
      <c r="C36" s="2" t="s">
        <v>674</v>
      </c>
      <c r="D36" t="s">
        <v>1079</v>
      </c>
      <c r="E36" s="12">
        <v>3</v>
      </c>
      <c r="J36">
        <v>1</v>
      </c>
      <c r="R36" t="s">
        <v>297</v>
      </c>
      <c r="T36" t="s">
        <v>968</v>
      </c>
    </row>
    <row r="37" spans="1:23" ht="16">
      <c r="A37" s="2" t="s">
        <v>295</v>
      </c>
      <c r="B37" s="9" t="s">
        <v>338</v>
      </c>
      <c r="C37" s="2" t="s">
        <v>675</v>
      </c>
      <c r="D37" t="s">
        <v>1080</v>
      </c>
      <c r="E37" s="12">
        <v>2</v>
      </c>
      <c r="M37">
        <v>1</v>
      </c>
    </row>
    <row r="38" spans="1:23" ht="16">
      <c r="A38" s="2" t="s">
        <v>295</v>
      </c>
      <c r="B38" s="9" t="s">
        <v>338</v>
      </c>
      <c r="C38" s="2" t="s">
        <v>676</v>
      </c>
      <c r="D38" t="s">
        <v>1081</v>
      </c>
      <c r="E38" s="12">
        <v>2</v>
      </c>
      <c r="M38">
        <v>1</v>
      </c>
    </row>
    <row r="39" spans="1:23" ht="32">
      <c r="A39" s="2" t="s">
        <v>295</v>
      </c>
      <c r="B39" s="9" t="s">
        <v>338</v>
      </c>
      <c r="C39" s="2" t="s">
        <v>677</v>
      </c>
      <c r="D39" s="2" t="s">
        <v>1082</v>
      </c>
      <c r="E39" s="12">
        <v>5</v>
      </c>
      <c r="M39">
        <v>1</v>
      </c>
    </row>
    <row r="40" spans="1:23" ht="16">
      <c r="A40" s="2" t="s">
        <v>295</v>
      </c>
      <c r="B40" s="9" t="s">
        <v>338</v>
      </c>
      <c r="C40" s="2" t="s">
        <v>678</v>
      </c>
      <c r="D40" s="2" t="s">
        <v>1173</v>
      </c>
      <c r="E40" s="12">
        <v>20</v>
      </c>
      <c r="I40">
        <v>1</v>
      </c>
    </row>
    <row r="41" spans="1:23" ht="16">
      <c r="A41" s="2" t="s">
        <v>295</v>
      </c>
      <c r="B41" s="9" t="s">
        <v>338</v>
      </c>
      <c r="C41" s="2" t="s">
        <v>679</v>
      </c>
      <c r="D41" s="2" t="s">
        <v>1083</v>
      </c>
      <c r="E41" s="12">
        <v>10</v>
      </c>
      <c r="H41">
        <v>1</v>
      </c>
    </row>
    <row r="42" spans="1:23" ht="16">
      <c r="A42" s="2" t="s">
        <v>295</v>
      </c>
      <c r="B42" s="9" t="s">
        <v>338</v>
      </c>
      <c r="C42" s="2" t="s">
        <v>680</v>
      </c>
      <c r="D42" s="2" t="s">
        <v>1084</v>
      </c>
      <c r="E42" s="12">
        <v>5</v>
      </c>
      <c r="I42">
        <v>1</v>
      </c>
    </row>
    <row r="43" spans="1:23" ht="16">
      <c r="A43" s="2" t="s">
        <v>295</v>
      </c>
      <c r="B43" s="9" t="s">
        <v>340</v>
      </c>
      <c r="C43" s="2" t="s">
        <v>681</v>
      </c>
      <c r="D43" s="2" t="s">
        <v>1085</v>
      </c>
      <c r="E43" s="25">
        <v>15</v>
      </c>
      <c r="F43" s="28"/>
      <c r="G43" s="28"/>
      <c r="H43" s="28">
        <v>1</v>
      </c>
      <c r="I43" s="28"/>
      <c r="J43" s="28"/>
      <c r="K43" s="28"/>
      <c r="L43" s="28"/>
      <c r="M43" s="28"/>
      <c r="N43" s="28"/>
      <c r="O43" s="28"/>
      <c r="P43" s="28"/>
      <c r="Q43" s="28"/>
      <c r="R43" s="26"/>
      <c r="S43" s="2"/>
      <c r="T43" s="2"/>
      <c r="U43" s="2"/>
      <c r="V43" s="2"/>
      <c r="W43" s="2"/>
    </row>
    <row r="44" spans="1:23" ht="16">
      <c r="A44" s="2" t="s">
        <v>295</v>
      </c>
      <c r="B44" s="9" t="s">
        <v>340</v>
      </c>
      <c r="C44" s="2" t="s">
        <v>682</v>
      </c>
      <c r="D44" s="2" t="s">
        <v>1086</v>
      </c>
      <c r="E44" s="2">
        <v>30</v>
      </c>
      <c r="F44" s="27">
        <v>1</v>
      </c>
      <c r="G44" s="30">
        <v>1</v>
      </c>
      <c r="H44" s="30"/>
      <c r="I44" s="30">
        <v>1</v>
      </c>
      <c r="J44" s="30"/>
      <c r="K44" s="30"/>
      <c r="L44" s="30"/>
      <c r="M44" s="30">
        <v>1</v>
      </c>
      <c r="N44" s="30"/>
      <c r="O44" s="30"/>
      <c r="P44" s="30"/>
      <c r="Q44" s="30"/>
      <c r="R44" s="14"/>
      <c r="S44" s="2"/>
      <c r="T44" s="2"/>
      <c r="U44" s="2"/>
      <c r="V44" s="2"/>
      <c r="W44" s="2"/>
    </row>
    <row r="45" spans="1:23" ht="16">
      <c r="A45" s="2" t="s">
        <v>295</v>
      </c>
      <c r="B45" s="9" t="s">
        <v>340</v>
      </c>
      <c r="C45" s="2" t="s">
        <v>683</v>
      </c>
      <c r="D45" s="2" t="s">
        <v>1087</v>
      </c>
      <c r="E45" s="2">
        <v>10</v>
      </c>
      <c r="F45" s="22"/>
      <c r="G45" s="8"/>
      <c r="H45" s="8"/>
      <c r="I45" s="8">
        <v>1</v>
      </c>
      <c r="J45" s="8"/>
      <c r="K45" s="8"/>
      <c r="L45" s="8"/>
      <c r="M45" s="8"/>
      <c r="N45" s="8"/>
      <c r="O45" s="8"/>
      <c r="P45" s="8"/>
      <c r="Q45" s="8"/>
      <c r="R45" s="15" t="s">
        <v>797</v>
      </c>
      <c r="S45" s="10" t="s">
        <v>484</v>
      </c>
      <c r="T45" s="2"/>
      <c r="U45" s="2"/>
      <c r="V45" s="2"/>
      <c r="W45" s="2"/>
    </row>
    <row r="46" spans="1:23" ht="16">
      <c r="A46" s="2" t="s">
        <v>295</v>
      </c>
      <c r="B46" s="9" t="s">
        <v>340</v>
      </c>
      <c r="C46" s="2" t="s">
        <v>684</v>
      </c>
      <c r="D46" s="2" t="s">
        <v>1088</v>
      </c>
      <c r="E46" s="2">
        <v>10</v>
      </c>
      <c r="F46" s="2"/>
      <c r="G46" s="23"/>
      <c r="H46" s="23"/>
      <c r="I46" s="23"/>
      <c r="J46" s="23"/>
      <c r="K46" s="23">
        <v>1</v>
      </c>
      <c r="L46" s="23"/>
      <c r="M46" s="23"/>
      <c r="N46" s="23"/>
      <c r="O46" s="23"/>
      <c r="P46" s="23"/>
      <c r="Q46" s="23"/>
      <c r="R46" s="23"/>
      <c r="S46" s="2"/>
      <c r="T46" s="2"/>
      <c r="U46" s="2"/>
      <c r="V46" s="2"/>
      <c r="W46" s="2"/>
    </row>
    <row r="47" spans="1:23" ht="48">
      <c r="A47" s="2" t="s">
        <v>295</v>
      </c>
      <c r="B47" s="9" t="s">
        <v>340</v>
      </c>
      <c r="C47" s="2" t="s">
        <v>685</v>
      </c>
      <c r="D47" s="2" t="s">
        <v>1089</v>
      </c>
      <c r="E47" s="2">
        <v>60</v>
      </c>
      <c r="F47" s="2"/>
      <c r="G47" s="2"/>
      <c r="H47" s="2"/>
      <c r="I47" s="2"/>
      <c r="J47" s="2">
        <v>1</v>
      </c>
      <c r="K47" s="2"/>
      <c r="L47" s="2"/>
      <c r="M47" s="2"/>
      <c r="N47" s="2"/>
      <c r="O47" s="2"/>
      <c r="P47" s="2"/>
      <c r="Q47" s="2"/>
      <c r="R47" s="2" t="s">
        <v>297</v>
      </c>
      <c r="S47" s="2" t="s">
        <v>708</v>
      </c>
      <c r="T47" s="3" t="s">
        <v>968</v>
      </c>
      <c r="U47" s="3">
        <v>2</v>
      </c>
      <c r="V47" s="3" t="s">
        <v>964</v>
      </c>
      <c r="W47" s="2"/>
    </row>
    <row r="48" spans="1:23" ht="16">
      <c r="A48" s="2" t="s">
        <v>295</v>
      </c>
      <c r="B48" s="9" t="s">
        <v>340</v>
      </c>
      <c r="C48" s="2" t="s">
        <v>686</v>
      </c>
      <c r="D48" s="2" t="s">
        <v>1090</v>
      </c>
      <c r="E48" s="2">
        <v>2</v>
      </c>
      <c r="F48" s="2"/>
      <c r="G48" s="2"/>
      <c r="H48" s="2"/>
      <c r="I48" s="2"/>
      <c r="J48" s="2"/>
      <c r="K48" s="2"/>
      <c r="L48" s="2"/>
      <c r="M48" s="2">
        <v>1</v>
      </c>
      <c r="N48" s="2"/>
      <c r="O48" s="2"/>
      <c r="P48" s="2"/>
      <c r="Q48" s="2"/>
      <c r="R48" s="2" t="s">
        <v>797</v>
      </c>
      <c r="S48" s="2" t="s">
        <v>23</v>
      </c>
      <c r="T48" s="2" t="s">
        <v>876</v>
      </c>
      <c r="U48" s="2">
        <v>1</v>
      </c>
      <c r="V48" s="2"/>
      <c r="W48" s="2"/>
    </row>
    <row r="49" spans="1:23" ht="16">
      <c r="A49" s="2" t="s">
        <v>295</v>
      </c>
      <c r="B49" s="9" t="s">
        <v>340</v>
      </c>
      <c r="C49" s="2" t="s">
        <v>687</v>
      </c>
      <c r="D49" s="2" t="s">
        <v>1091</v>
      </c>
      <c r="E49" s="2">
        <v>10</v>
      </c>
      <c r="F49" s="2"/>
      <c r="G49" s="2"/>
      <c r="H49" s="2"/>
      <c r="I49" s="2">
        <v>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6">
      <c r="A50" s="2" t="s">
        <v>295</v>
      </c>
      <c r="B50" s="9" t="s">
        <v>340</v>
      </c>
      <c r="C50" s="2" t="s">
        <v>688</v>
      </c>
      <c r="D50" s="2" t="s">
        <v>1092</v>
      </c>
      <c r="E50" s="2">
        <v>20</v>
      </c>
      <c r="F50" s="2"/>
      <c r="G50" s="2"/>
      <c r="H50" s="2"/>
      <c r="I50" s="2">
        <v>1</v>
      </c>
      <c r="J50" s="2"/>
      <c r="K50" s="2">
        <v>1</v>
      </c>
      <c r="L50" s="2"/>
      <c r="M50" s="2">
        <v>1</v>
      </c>
      <c r="N50" s="2"/>
      <c r="O50" s="2"/>
      <c r="P50" s="2"/>
      <c r="Q50" s="2"/>
      <c r="R50" s="2"/>
      <c r="S50" s="2" t="s">
        <v>23</v>
      </c>
      <c r="T50" s="2" t="s">
        <v>975</v>
      </c>
      <c r="U50" s="2">
        <v>1</v>
      </c>
      <c r="V50" s="2"/>
      <c r="W50" s="2"/>
    </row>
    <row r="51" spans="1:23" ht="16">
      <c r="A51" s="2" t="s">
        <v>295</v>
      </c>
      <c r="B51" s="9" t="s">
        <v>340</v>
      </c>
      <c r="C51" s="2" t="s">
        <v>689</v>
      </c>
      <c r="D51" s="2" t="s">
        <v>1093</v>
      </c>
      <c r="E51" s="2">
        <v>10</v>
      </c>
      <c r="F51" s="2"/>
      <c r="G51" s="2"/>
      <c r="H51" s="2"/>
      <c r="I51" s="2"/>
      <c r="J51" s="2"/>
      <c r="K51" s="2">
        <v>1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6">
      <c r="A52" s="2" t="s">
        <v>295</v>
      </c>
      <c r="B52" s="9" t="s">
        <v>340</v>
      </c>
      <c r="C52" s="2" t="s">
        <v>690</v>
      </c>
      <c r="D52" s="2" t="s">
        <v>1094</v>
      </c>
      <c r="E52" s="2">
        <v>5</v>
      </c>
      <c r="F52" s="2"/>
      <c r="G52" s="2"/>
      <c r="H52" s="2"/>
      <c r="I52" s="2"/>
      <c r="J52" s="2"/>
      <c r="K52" s="2"/>
      <c r="L52" s="2"/>
      <c r="M52" s="2">
        <v>1</v>
      </c>
      <c r="N52" s="2"/>
      <c r="O52" s="2"/>
      <c r="P52" s="2"/>
      <c r="Q52" s="2"/>
      <c r="R52" s="2" t="s">
        <v>797</v>
      </c>
      <c r="S52" s="2" t="s">
        <v>394</v>
      </c>
      <c r="T52" s="2"/>
      <c r="U52" s="2"/>
      <c r="V52" s="2"/>
      <c r="W52" s="2"/>
    </row>
    <row r="53" spans="1:23" ht="16">
      <c r="A53" s="2" t="s">
        <v>295</v>
      </c>
      <c r="B53" s="9" t="s">
        <v>340</v>
      </c>
      <c r="C53" s="2" t="s">
        <v>691</v>
      </c>
      <c r="D53" s="2" t="s">
        <v>1095</v>
      </c>
      <c r="E53" s="2">
        <v>5</v>
      </c>
      <c r="F53" s="2"/>
      <c r="G53" s="2">
        <v>1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 t="s">
        <v>797</v>
      </c>
      <c r="S53" s="2" t="s">
        <v>393</v>
      </c>
      <c r="T53" s="2"/>
      <c r="U53" s="2"/>
      <c r="V53" s="2"/>
      <c r="W53" s="2"/>
    </row>
    <row r="54" spans="1:23" ht="16">
      <c r="A54" s="2" t="s">
        <v>295</v>
      </c>
      <c r="B54" s="9" t="s">
        <v>340</v>
      </c>
      <c r="C54" s="2" t="s">
        <v>692</v>
      </c>
      <c r="D54" s="2" t="s">
        <v>1096</v>
      </c>
      <c r="E54" s="2">
        <v>10</v>
      </c>
      <c r="F54" s="2"/>
      <c r="G54" s="2">
        <v>1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 t="s">
        <v>296</v>
      </c>
      <c r="S54" s="2"/>
      <c r="T54" s="2"/>
      <c r="U54" s="2"/>
      <c r="V54" s="2"/>
      <c r="W54" s="2"/>
    </row>
    <row r="55" spans="1:23" ht="16">
      <c r="A55" s="2" t="s">
        <v>295</v>
      </c>
      <c r="B55" s="9" t="s">
        <v>340</v>
      </c>
      <c r="C55" s="2" t="s">
        <v>693</v>
      </c>
      <c r="D55" s="2" t="s">
        <v>1097</v>
      </c>
      <c r="E55" s="2">
        <v>5</v>
      </c>
      <c r="F55" s="2"/>
      <c r="G55" s="2">
        <v>3</v>
      </c>
      <c r="H55" s="2"/>
      <c r="I55" s="2"/>
      <c r="J55" s="2"/>
      <c r="L55" s="2"/>
      <c r="M55" s="2"/>
      <c r="N55" s="2"/>
      <c r="O55" s="2"/>
      <c r="P55" s="2"/>
      <c r="Q55" s="2"/>
      <c r="R55" s="2" t="s">
        <v>978</v>
      </c>
      <c r="S55" s="2"/>
      <c r="T55" s="2"/>
      <c r="U55" s="2"/>
      <c r="V55" s="2"/>
      <c r="W55" s="2"/>
    </row>
    <row r="56" spans="1:23" ht="16">
      <c r="A56" s="2" t="s">
        <v>295</v>
      </c>
      <c r="B56" s="9" t="s">
        <v>340</v>
      </c>
      <c r="C56" s="2" t="s">
        <v>694</v>
      </c>
      <c r="D56" s="2" t="s">
        <v>1098</v>
      </c>
      <c r="E56" s="2">
        <v>5</v>
      </c>
      <c r="F56" s="2"/>
      <c r="G56" s="2">
        <v>3</v>
      </c>
      <c r="H56" s="2"/>
      <c r="I56" s="2"/>
      <c r="J56" s="2"/>
      <c r="L56" s="2"/>
      <c r="M56" s="2"/>
      <c r="N56" s="2"/>
      <c r="O56" s="2"/>
      <c r="P56" s="2"/>
      <c r="Q56" s="2"/>
      <c r="R56" s="2" t="s">
        <v>103</v>
      </c>
      <c r="S56" s="2"/>
      <c r="T56" s="2"/>
      <c r="U56" s="2"/>
      <c r="V56" s="2"/>
      <c r="W56" s="2"/>
    </row>
    <row r="57" spans="1:23" ht="16">
      <c r="A57" s="2" t="s">
        <v>295</v>
      </c>
      <c r="B57" s="9" t="s">
        <v>340</v>
      </c>
      <c r="C57" s="2" t="s">
        <v>695</v>
      </c>
      <c r="D57" s="2" t="s">
        <v>1099</v>
      </c>
      <c r="E57" s="2">
        <v>15</v>
      </c>
      <c r="F57" s="2"/>
      <c r="G57" s="2">
        <v>1</v>
      </c>
      <c r="H57" s="2"/>
      <c r="I57" s="2"/>
      <c r="J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6">
      <c r="A58" s="2" t="s">
        <v>295</v>
      </c>
      <c r="B58" s="9" t="s">
        <v>340</v>
      </c>
      <c r="C58" s="2" t="s">
        <v>696</v>
      </c>
      <c r="D58" s="2" t="s">
        <v>1100</v>
      </c>
      <c r="E58" s="2">
        <v>1</v>
      </c>
      <c r="F58" s="2"/>
      <c r="G58" s="2"/>
      <c r="H58" s="2"/>
      <c r="I58" s="2"/>
      <c r="J58" s="2"/>
      <c r="K58" s="2">
        <v>1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6">
      <c r="A59" s="2" t="s">
        <v>295</v>
      </c>
      <c r="B59" s="9" t="s">
        <v>340</v>
      </c>
      <c r="C59" s="2" t="s">
        <v>697</v>
      </c>
      <c r="D59" s="2" t="s">
        <v>1101</v>
      </c>
      <c r="E59" s="2">
        <v>1</v>
      </c>
      <c r="F59" s="2"/>
      <c r="G59" s="2"/>
      <c r="H59" s="2"/>
      <c r="I59" s="2"/>
      <c r="J59" s="2">
        <v>1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6">
      <c r="A60" s="2" t="s">
        <v>295</v>
      </c>
      <c r="B60" s="9" t="s">
        <v>340</v>
      </c>
      <c r="C60" s="2" t="s">
        <v>698</v>
      </c>
      <c r="D60" s="2" t="s">
        <v>1102</v>
      </c>
      <c r="E60" s="2">
        <v>15</v>
      </c>
      <c r="F60" s="2"/>
      <c r="G60" s="2"/>
      <c r="H60" s="2"/>
      <c r="I60" s="2">
        <v>1</v>
      </c>
      <c r="J60" s="2"/>
      <c r="K60" s="2"/>
      <c r="L60" s="2"/>
      <c r="M60" s="2"/>
      <c r="N60" s="2"/>
      <c r="O60" s="2"/>
      <c r="P60" s="2"/>
      <c r="Q60" s="2"/>
      <c r="R60" s="2" t="s">
        <v>797</v>
      </c>
      <c r="S60" s="2" t="s">
        <v>392</v>
      </c>
      <c r="T60" s="2" t="s">
        <v>975</v>
      </c>
      <c r="U60" s="2"/>
      <c r="V60" s="2"/>
      <c r="W60" s="2"/>
    </row>
    <row r="61" spans="1:23" ht="16">
      <c r="A61" s="2" t="s">
        <v>295</v>
      </c>
      <c r="B61" s="9" t="s">
        <v>340</v>
      </c>
      <c r="C61" s="2" t="s">
        <v>699</v>
      </c>
      <c r="D61" s="2" t="s">
        <v>1103</v>
      </c>
      <c r="E61" s="2">
        <v>2</v>
      </c>
      <c r="F61" s="2"/>
      <c r="G61" s="2"/>
      <c r="H61" s="2"/>
      <c r="I61" s="2"/>
      <c r="J61" s="2"/>
      <c r="K61" s="2"/>
      <c r="L61" s="2"/>
      <c r="M61" s="2">
        <v>1</v>
      </c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6">
      <c r="A62" s="2" t="s">
        <v>295</v>
      </c>
      <c r="B62" s="9" t="s">
        <v>340</v>
      </c>
      <c r="C62" s="2" t="s">
        <v>700</v>
      </c>
      <c r="D62" s="2" t="s">
        <v>1104</v>
      </c>
      <c r="E62" s="2">
        <v>5</v>
      </c>
      <c r="F62" s="2">
        <v>1</v>
      </c>
      <c r="G62" s="2">
        <v>1</v>
      </c>
      <c r="H62" s="2"/>
      <c r="I62" s="2">
        <v>1</v>
      </c>
      <c r="J62" s="2"/>
      <c r="K62" s="2"/>
      <c r="L62" s="2"/>
      <c r="M62" s="2">
        <v>1</v>
      </c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6">
      <c r="A63" s="2" t="s">
        <v>295</v>
      </c>
      <c r="B63" s="9" t="s">
        <v>340</v>
      </c>
      <c r="C63" s="2" t="s">
        <v>701</v>
      </c>
      <c r="D63" s="2" t="s">
        <v>1105</v>
      </c>
      <c r="E63" s="2">
        <v>3</v>
      </c>
      <c r="F63" s="2">
        <v>1</v>
      </c>
      <c r="G63" s="2">
        <v>1</v>
      </c>
      <c r="H63" s="2"/>
      <c r="I63" s="2">
        <v>1</v>
      </c>
      <c r="J63" s="2"/>
      <c r="K63" s="2"/>
      <c r="L63" s="2"/>
      <c r="M63" s="2">
        <v>1</v>
      </c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6">
      <c r="A64" s="2" t="s">
        <v>295</v>
      </c>
      <c r="B64" s="9" t="s">
        <v>340</v>
      </c>
      <c r="C64" s="2" t="s">
        <v>702</v>
      </c>
      <c r="D64" s="8" t="s">
        <v>1106</v>
      </c>
      <c r="E64" s="2">
        <v>5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 t="s">
        <v>979</v>
      </c>
      <c r="S64" s="2"/>
      <c r="T64" s="2"/>
      <c r="U64" s="2"/>
      <c r="V64" s="2"/>
      <c r="W64" s="2"/>
    </row>
    <row r="65" spans="1:23" ht="16">
      <c r="A65" s="2" t="s">
        <v>295</v>
      </c>
      <c r="B65" s="9" t="s">
        <v>340</v>
      </c>
      <c r="C65" s="2" t="s">
        <v>703</v>
      </c>
      <c r="D65" s="12" t="s">
        <v>1107</v>
      </c>
      <c r="E65" s="2">
        <v>20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 t="s">
        <v>980</v>
      </c>
      <c r="S65" s="2"/>
      <c r="T65" s="2"/>
      <c r="U65" s="2"/>
      <c r="V65" s="2"/>
      <c r="W65" s="2"/>
    </row>
    <row r="66" spans="1:23" ht="16">
      <c r="A66" s="2" t="s">
        <v>295</v>
      </c>
      <c r="B66" s="9" t="s">
        <v>340</v>
      </c>
      <c r="C66" s="2" t="s">
        <v>704</v>
      </c>
      <c r="D66" s="12" t="s">
        <v>1108</v>
      </c>
      <c r="E66" s="2">
        <v>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 t="s">
        <v>797</v>
      </c>
      <c r="S66" s="2"/>
      <c r="T66" s="2"/>
      <c r="U66" s="2"/>
      <c r="V66" s="2"/>
      <c r="W66" s="2"/>
    </row>
    <row r="67" spans="1:23" ht="16">
      <c r="A67" s="2" t="s">
        <v>295</v>
      </c>
      <c r="B67" s="9" t="s">
        <v>340</v>
      </c>
      <c r="C67" s="2" t="s">
        <v>705</v>
      </c>
      <c r="D67" s="12" t="s">
        <v>1109</v>
      </c>
      <c r="E67" s="2">
        <v>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 t="s">
        <v>102</v>
      </c>
      <c r="S67" s="2"/>
      <c r="T67" s="2"/>
      <c r="U67" s="2"/>
      <c r="V67" s="2"/>
      <c r="W67" s="2"/>
    </row>
    <row r="68" spans="1:23" ht="16">
      <c r="A68" s="2" t="s">
        <v>295</v>
      </c>
      <c r="B68" s="9" t="s">
        <v>340</v>
      </c>
      <c r="C68" s="2" t="s">
        <v>706</v>
      </c>
      <c r="D68" t="s">
        <v>1110</v>
      </c>
      <c r="E68" s="2">
        <v>20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 t="s">
        <v>980</v>
      </c>
      <c r="S68" s="2"/>
      <c r="T68" s="2"/>
      <c r="U68" s="2"/>
      <c r="V68" s="2"/>
      <c r="W68" s="2"/>
    </row>
    <row r="69" spans="1:23" ht="16">
      <c r="A69" s="2" t="s">
        <v>295</v>
      </c>
      <c r="B69" s="9" t="s">
        <v>340</v>
      </c>
      <c r="C69" s="2" t="s">
        <v>707</v>
      </c>
      <c r="D69" s="2" t="s">
        <v>1174</v>
      </c>
      <c r="E69" s="2">
        <v>5</v>
      </c>
      <c r="F69" s="2"/>
      <c r="G69" s="2"/>
      <c r="H69" s="2"/>
      <c r="I69" s="2">
        <v>1</v>
      </c>
      <c r="J69" s="2"/>
      <c r="K69" s="2"/>
      <c r="L69" s="2"/>
      <c r="M69" s="2"/>
      <c r="N69" s="2"/>
      <c r="O69" s="2"/>
      <c r="P69" s="2"/>
      <c r="Q69" s="2"/>
      <c r="R69" s="2" t="s">
        <v>797</v>
      </c>
      <c r="S69" s="2" t="s">
        <v>484</v>
      </c>
      <c r="T69" s="2"/>
      <c r="U69" s="2"/>
      <c r="V69" s="2"/>
      <c r="W69" s="2"/>
    </row>
    <row r="70" spans="1:23" ht="16">
      <c r="A70" s="2" t="s">
        <v>295</v>
      </c>
      <c r="B70" s="9" t="s">
        <v>340</v>
      </c>
      <c r="C70" s="2" t="s">
        <v>709</v>
      </c>
      <c r="D70" t="s">
        <v>1091</v>
      </c>
      <c r="E70" s="2">
        <v>10</v>
      </c>
      <c r="F70" s="2"/>
      <c r="G70" s="2"/>
      <c r="H70" s="2"/>
      <c r="I70" s="2">
        <v>1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6">
      <c r="A71" s="2" t="s">
        <v>295</v>
      </c>
      <c r="B71" s="9" t="s">
        <v>340</v>
      </c>
      <c r="C71" s="2" t="s">
        <v>710</v>
      </c>
      <c r="D71" s="50" t="s">
        <v>1175</v>
      </c>
      <c r="E71" s="2">
        <v>20</v>
      </c>
      <c r="F71" s="2"/>
      <c r="G71" s="2"/>
      <c r="H71" s="2"/>
      <c r="I71" s="2">
        <v>1</v>
      </c>
      <c r="J71" s="2"/>
      <c r="K71" s="2"/>
      <c r="L71" s="2"/>
      <c r="M71" s="2"/>
      <c r="N71" s="2"/>
      <c r="O71" s="2"/>
      <c r="P71" s="2"/>
      <c r="Q71" s="2"/>
      <c r="R71" s="2" t="s">
        <v>797</v>
      </c>
      <c r="S71" s="2" t="s">
        <v>23</v>
      </c>
      <c r="T71" s="2" t="s">
        <v>975</v>
      </c>
      <c r="U71" s="2"/>
      <c r="V71" s="2"/>
      <c r="W71" s="2"/>
    </row>
    <row r="72" spans="1:23" ht="16">
      <c r="A72" s="2" t="s">
        <v>295</v>
      </c>
      <c r="B72" s="9" t="s">
        <v>340</v>
      </c>
      <c r="C72" s="2" t="s">
        <v>711</v>
      </c>
      <c r="D72" s="2" t="s">
        <v>1112</v>
      </c>
      <c r="E72" s="2">
        <v>1</v>
      </c>
      <c r="F72" s="2"/>
      <c r="G72" s="2"/>
      <c r="H72" s="2"/>
      <c r="I72" s="2"/>
      <c r="J72" s="2"/>
      <c r="K72" s="2">
        <v>1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6">
      <c r="A73" s="2" t="s">
        <v>295</v>
      </c>
      <c r="B73" s="9" t="s">
        <v>340</v>
      </c>
      <c r="C73" s="2" t="s">
        <v>712</v>
      </c>
      <c r="D73" s="2" t="s">
        <v>1111</v>
      </c>
      <c r="E73" s="21">
        <v>20</v>
      </c>
      <c r="M73">
        <v>1</v>
      </c>
      <c r="S73" t="s">
        <v>23</v>
      </c>
    </row>
    <row r="74" spans="1:23" ht="16">
      <c r="A74" s="2" t="s">
        <v>295</v>
      </c>
      <c r="B74" s="9" t="s">
        <v>340</v>
      </c>
      <c r="C74" s="2" t="s">
        <v>713</v>
      </c>
      <c r="D74" t="s">
        <v>1113</v>
      </c>
      <c r="E74" s="12">
        <v>30</v>
      </c>
      <c r="F74">
        <v>1</v>
      </c>
    </row>
    <row r="75" spans="1:23" ht="16">
      <c r="A75" s="2" t="s">
        <v>295</v>
      </c>
      <c r="B75" s="9" t="s">
        <v>340</v>
      </c>
      <c r="C75" s="2" t="s">
        <v>714</v>
      </c>
      <c r="D75" t="s">
        <v>1114</v>
      </c>
      <c r="E75" s="12">
        <v>1</v>
      </c>
      <c r="G75">
        <v>1</v>
      </c>
    </row>
    <row r="76" spans="1:23" ht="16">
      <c r="A76" s="2" t="s">
        <v>295</v>
      </c>
      <c r="B76" s="9" t="s">
        <v>340</v>
      </c>
      <c r="C76" s="2" t="s">
        <v>715</v>
      </c>
      <c r="D76" s="2" t="s">
        <v>1115</v>
      </c>
      <c r="E76" s="12">
        <v>1</v>
      </c>
      <c r="F76">
        <v>1</v>
      </c>
    </row>
    <row r="77" spans="1:23" ht="16">
      <c r="A77" s="2" t="s">
        <v>295</v>
      </c>
      <c r="B77" s="9" t="s">
        <v>340</v>
      </c>
      <c r="C77" s="2" t="s">
        <v>716</v>
      </c>
      <c r="D77" t="s">
        <v>1116</v>
      </c>
      <c r="E77" s="12">
        <v>3</v>
      </c>
      <c r="J77">
        <v>1</v>
      </c>
      <c r="R77" t="s">
        <v>297</v>
      </c>
      <c r="T77" t="s">
        <v>968</v>
      </c>
    </row>
    <row r="78" spans="1:23" ht="16">
      <c r="A78" s="2" t="s">
        <v>295</v>
      </c>
      <c r="B78" s="9" t="s">
        <v>340</v>
      </c>
      <c r="C78" s="2" t="s">
        <v>717</v>
      </c>
      <c r="D78" t="s">
        <v>1117</v>
      </c>
      <c r="E78" s="12">
        <v>2</v>
      </c>
      <c r="M78">
        <v>1</v>
      </c>
    </row>
    <row r="79" spans="1:23" ht="16">
      <c r="A79" s="2" t="s">
        <v>295</v>
      </c>
      <c r="B79" s="9" t="s">
        <v>340</v>
      </c>
      <c r="C79" s="2" t="s">
        <v>718</v>
      </c>
      <c r="D79" t="s">
        <v>1118</v>
      </c>
      <c r="E79" s="12">
        <v>2</v>
      </c>
      <c r="M79">
        <v>1</v>
      </c>
    </row>
    <row r="80" spans="1:23" ht="32">
      <c r="A80" s="2" t="s">
        <v>295</v>
      </c>
      <c r="B80" s="9" t="s">
        <v>340</v>
      </c>
      <c r="C80" s="2" t="s">
        <v>719</v>
      </c>
      <c r="D80" s="2" t="s">
        <v>1119</v>
      </c>
      <c r="E80" s="12">
        <v>5</v>
      </c>
      <c r="M80">
        <v>1</v>
      </c>
    </row>
    <row r="81" spans="1:20" ht="16">
      <c r="A81" s="2" t="s">
        <v>295</v>
      </c>
      <c r="B81" s="9" t="s">
        <v>340</v>
      </c>
      <c r="C81" s="2" t="s">
        <v>720</v>
      </c>
      <c r="D81" s="2" t="s">
        <v>1176</v>
      </c>
      <c r="E81" s="12">
        <v>20</v>
      </c>
      <c r="I81">
        <v>1</v>
      </c>
    </row>
    <row r="82" spans="1:20" ht="16">
      <c r="A82" s="2" t="s">
        <v>295</v>
      </c>
      <c r="B82" s="9" t="s">
        <v>340</v>
      </c>
      <c r="C82" s="2" t="s">
        <v>721</v>
      </c>
      <c r="D82" s="2" t="s">
        <v>1120</v>
      </c>
      <c r="E82" s="12">
        <v>10</v>
      </c>
      <c r="H82">
        <v>1</v>
      </c>
    </row>
    <row r="83" spans="1:20" ht="16">
      <c r="A83" s="2" t="s">
        <v>295</v>
      </c>
      <c r="B83" s="9" t="s">
        <v>340</v>
      </c>
      <c r="C83" s="2" t="s">
        <v>722</v>
      </c>
      <c r="D83" s="2" t="s">
        <v>1121</v>
      </c>
      <c r="E83" s="12">
        <v>5</v>
      </c>
      <c r="I83">
        <v>1</v>
      </c>
    </row>
    <row r="84" spans="1:20" ht="16">
      <c r="A84" s="2" t="s">
        <v>295</v>
      </c>
      <c r="B84" s="9" t="s">
        <v>337</v>
      </c>
      <c r="C84" s="2" t="s">
        <v>723</v>
      </c>
      <c r="D84" t="s">
        <v>1122</v>
      </c>
      <c r="E84" s="12">
        <v>20</v>
      </c>
      <c r="R84" s="2" t="s">
        <v>979</v>
      </c>
    </row>
    <row r="85" spans="1:20" ht="16">
      <c r="A85" s="2" t="s">
        <v>295</v>
      </c>
      <c r="B85" s="9" t="s">
        <v>337</v>
      </c>
      <c r="C85" s="2" t="s">
        <v>724</v>
      </c>
      <c r="D85" t="s">
        <v>1123</v>
      </c>
      <c r="E85" s="12">
        <v>5</v>
      </c>
      <c r="G85">
        <v>1</v>
      </c>
      <c r="R85" t="s">
        <v>797</v>
      </c>
      <c r="S85" t="s">
        <v>25</v>
      </c>
    </row>
    <row r="86" spans="1:20" ht="16">
      <c r="A86" s="2" t="s">
        <v>295</v>
      </c>
      <c r="B86" s="9" t="s">
        <v>337</v>
      </c>
      <c r="C86" s="2" t="s">
        <v>725</v>
      </c>
      <c r="D86" t="s">
        <v>1124</v>
      </c>
      <c r="E86" s="12">
        <v>15</v>
      </c>
      <c r="G86">
        <v>1</v>
      </c>
      <c r="R86" t="s">
        <v>797</v>
      </c>
      <c r="S86" t="s">
        <v>24</v>
      </c>
    </row>
    <row r="87" spans="1:20" ht="16">
      <c r="A87" s="2" t="s">
        <v>295</v>
      </c>
      <c r="B87" s="9" t="s">
        <v>337</v>
      </c>
      <c r="C87" s="2" t="s">
        <v>726</v>
      </c>
      <c r="D87" t="s">
        <v>1125</v>
      </c>
      <c r="E87" s="12">
        <v>12</v>
      </c>
      <c r="G87">
        <v>1</v>
      </c>
      <c r="R87" t="s">
        <v>797</v>
      </c>
    </row>
    <row r="88" spans="1:20" ht="16">
      <c r="A88" s="2" t="s">
        <v>295</v>
      </c>
      <c r="B88" s="9" t="s">
        <v>337</v>
      </c>
      <c r="C88" s="2" t="s">
        <v>727</v>
      </c>
      <c r="D88" t="s">
        <v>1126</v>
      </c>
      <c r="E88" s="12">
        <v>2</v>
      </c>
      <c r="G88">
        <v>1</v>
      </c>
      <c r="R88" t="s">
        <v>797</v>
      </c>
    </row>
    <row r="89" spans="1:20" ht="16">
      <c r="A89" s="2" t="s">
        <v>295</v>
      </c>
      <c r="B89" s="9" t="s">
        <v>337</v>
      </c>
      <c r="C89" s="2" t="s">
        <v>728</v>
      </c>
      <c r="D89" t="s">
        <v>1127</v>
      </c>
      <c r="E89" s="12">
        <v>5</v>
      </c>
      <c r="F89">
        <v>1</v>
      </c>
      <c r="G89">
        <v>2</v>
      </c>
      <c r="H89">
        <v>1</v>
      </c>
      <c r="I89">
        <v>1</v>
      </c>
      <c r="P89">
        <v>1</v>
      </c>
      <c r="Q89">
        <v>1</v>
      </c>
      <c r="R89" t="s">
        <v>797</v>
      </c>
    </row>
    <row r="90" spans="1:20" ht="16">
      <c r="A90" s="2" t="s">
        <v>295</v>
      </c>
      <c r="B90" s="9" t="s">
        <v>337</v>
      </c>
      <c r="C90" s="2" t="s">
        <v>729</v>
      </c>
      <c r="D90" t="s">
        <v>1128</v>
      </c>
      <c r="E90" s="12">
        <v>1</v>
      </c>
      <c r="M90">
        <v>1</v>
      </c>
      <c r="R90" t="s">
        <v>797</v>
      </c>
      <c r="S90" t="s">
        <v>23</v>
      </c>
    </row>
    <row r="91" spans="1:20" ht="16">
      <c r="A91" s="2" t="s">
        <v>295</v>
      </c>
      <c r="B91" s="9" t="s">
        <v>337</v>
      </c>
      <c r="C91" s="2" t="s">
        <v>730</v>
      </c>
      <c r="D91" t="s">
        <v>1129</v>
      </c>
      <c r="E91" s="12">
        <v>10</v>
      </c>
      <c r="M91">
        <v>1</v>
      </c>
      <c r="R91" t="s">
        <v>797</v>
      </c>
    </row>
    <row r="92" spans="1:20" ht="16">
      <c r="A92" s="2" t="s">
        <v>295</v>
      </c>
      <c r="B92" s="9" t="s">
        <v>337</v>
      </c>
      <c r="C92" s="2" t="s">
        <v>731</v>
      </c>
      <c r="D92" t="s">
        <v>1130</v>
      </c>
      <c r="E92" s="12">
        <v>8</v>
      </c>
      <c r="M92">
        <v>1</v>
      </c>
      <c r="R92" t="s">
        <v>797</v>
      </c>
      <c r="S92" t="s">
        <v>392</v>
      </c>
    </row>
    <row r="93" spans="1:20" ht="16">
      <c r="A93" s="2" t="s">
        <v>295</v>
      </c>
      <c r="B93" s="9" t="s">
        <v>337</v>
      </c>
      <c r="C93" s="2" t="s">
        <v>732</v>
      </c>
      <c r="D93" t="s">
        <v>1131</v>
      </c>
      <c r="E93" s="12">
        <v>1</v>
      </c>
      <c r="M93">
        <v>1</v>
      </c>
      <c r="R93" t="s">
        <v>797</v>
      </c>
    </row>
    <row r="94" spans="1:20" ht="16">
      <c r="A94" s="2" t="s">
        <v>295</v>
      </c>
      <c r="B94" s="9" t="s">
        <v>337</v>
      </c>
      <c r="C94" s="2" t="s">
        <v>733</v>
      </c>
      <c r="D94" t="s">
        <v>1132</v>
      </c>
      <c r="E94" s="12">
        <v>1</v>
      </c>
      <c r="L94">
        <v>1</v>
      </c>
      <c r="M94">
        <v>1</v>
      </c>
      <c r="R94" t="s">
        <v>797</v>
      </c>
    </row>
    <row r="95" spans="1:20" ht="16">
      <c r="A95" s="2" t="s">
        <v>295</v>
      </c>
      <c r="B95" s="9" t="s">
        <v>337</v>
      </c>
      <c r="C95" s="2" t="s">
        <v>734</v>
      </c>
      <c r="D95" t="s">
        <v>1133</v>
      </c>
      <c r="E95" s="12">
        <v>15</v>
      </c>
      <c r="H95">
        <v>1</v>
      </c>
      <c r="I95">
        <v>1</v>
      </c>
      <c r="R95" t="s">
        <v>797</v>
      </c>
    </row>
    <row r="96" spans="1:20" ht="16">
      <c r="A96" s="2" t="s">
        <v>295</v>
      </c>
      <c r="B96" s="9" t="s">
        <v>337</v>
      </c>
      <c r="C96" s="2" t="s">
        <v>735</v>
      </c>
      <c r="D96" t="s">
        <v>1134</v>
      </c>
      <c r="E96" s="12">
        <v>5</v>
      </c>
      <c r="I96">
        <v>1</v>
      </c>
      <c r="R96" t="s">
        <v>797</v>
      </c>
      <c r="T96" t="s">
        <v>928</v>
      </c>
    </row>
    <row r="97" spans="1:19" ht="16">
      <c r="A97" s="2" t="s">
        <v>295</v>
      </c>
      <c r="B97" s="9" t="s">
        <v>337</v>
      </c>
      <c r="C97" s="2" t="s">
        <v>736</v>
      </c>
      <c r="D97" t="s">
        <v>1135</v>
      </c>
      <c r="E97" s="12">
        <v>5</v>
      </c>
      <c r="I97">
        <v>1</v>
      </c>
      <c r="R97" t="s">
        <v>797</v>
      </c>
    </row>
    <row r="98" spans="1:19" ht="16">
      <c r="A98" s="2" t="s">
        <v>295</v>
      </c>
      <c r="B98" s="9" t="s">
        <v>337</v>
      </c>
      <c r="C98" s="2" t="s">
        <v>737</v>
      </c>
      <c r="D98" t="s">
        <v>1136</v>
      </c>
      <c r="E98" s="12">
        <v>5</v>
      </c>
      <c r="Q98">
        <v>1</v>
      </c>
      <c r="R98" t="s">
        <v>797</v>
      </c>
    </row>
    <row r="99" spans="1:19" ht="16">
      <c r="A99" s="2" t="s">
        <v>295</v>
      </c>
      <c r="B99" s="9" t="s">
        <v>337</v>
      </c>
      <c r="C99" s="2" t="s">
        <v>738</v>
      </c>
      <c r="D99" t="s">
        <v>1137</v>
      </c>
      <c r="E99" s="12">
        <v>5</v>
      </c>
      <c r="Q99">
        <v>1</v>
      </c>
      <c r="R99" t="s">
        <v>797</v>
      </c>
    </row>
    <row r="100" spans="1:19" ht="16">
      <c r="A100" s="2" t="s">
        <v>295</v>
      </c>
      <c r="B100" s="9" t="s">
        <v>337</v>
      </c>
      <c r="C100" s="2" t="s">
        <v>739</v>
      </c>
      <c r="D100" t="s">
        <v>1138</v>
      </c>
      <c r="E100" s="12">
        <v>5</v>
      </c>
      <c r="R100" t="s">
        <v>979</v>
      </c>
    </row>
    <row r="101" spans="1:19" ht="16">
      <c r="A101" s="2" t="s">
        <v>295</v>
      </c>
      <c r="B101" s="9" t="s">
        <v>337</v>
      </c>
      <c r="C101" s="2" t="s">
        <v>740</v>
      </c>
      <c r="D101" t="s">
        <v>1139</v>
      </c>
      <c r="E101" s="12">
        <v>20</v>
      </c>
      <c r="R101" t="s">
        <v>980</v>
      </c>
      <c r="S101" t="s">
        <v>364</v>
      </c>
    </row>
    <row r="102" spans="1:19" ht="16">
      <c r="A102" s="2" t="s">
        <v>295</v>
      </c>
      <c r="B102" s="9" t="s">
        <v>337</v>
      </c>
      <c r="C102" s="2" t="s">
        <v>744</v>
      </c>
      <c r="D102" t="s">
        <v>1140</v>
      </c>
      <c r="E102" s="12">
        <v>3</v>
      </c>
      <c r="R102" t="s">
        <v>797</v>
      </c>
    </row>
    <row r="103" spans="1:19" ht="16">
      <c r="A103" s="2" t="s">
        <v>295</v>
      </c>
      <c r="B103" s="9" t="s">
        <v>337</v>
      </c>
      <c r="C103" s="2" t="s">
        <v>745</v>
      </c>
      <c r="D103" t="s">
        <v>1141</v>
      </c>
      <c r="E103" s="12">
        <v>4</v>
      </c>
      <c r="R103" t="s">
        <v>102</v>
      </c>
    </row>
    <row r="104" spans="1:19" ht="16">
      <c r="A104" s="2" t="s">
        <v>295</v>
      </c>
      <c r="B104" s="9" t="s">
        <v>337</v>
      </c>
      <c r="C104" s="2" t="s">
        <v>746</v>
      </c>
      <c r="D104" t="s">
        <v>1142</v>
      </c>
      <c r="E104" s="12">
        <v>15</v>
      </c>
      <c r="G104">
        <v>1</v>
      </c>
      <c r="R104" t="s">
        <v>797</v>
      </c>
    </row>
    <row r="105" spans="1:19" ht="16">
      <c r="A105" s="2" t="s">
        <v>295</v>
      </c>
      <c r="B105" s="9" t="s">
        <v>337</v>
      </c>
      <c r="C105" s="2" t="s">
        <v>747</v>
      </c>
      <c r="D105" t="s">
        <v>1125</v>
      </c>
      <c r="E105" s="12">
        <v>12</v>
      </c>
      <c r="G105">
        <v>1</v>
      </c>
      <c r="R105" t="s">
        <v>797</v>
      </c>
    </row>
    <row r="106" spans="1:19" ht="16">
      <c r="A106" s="2" t="s">
        <v>295</v>
      </c>
      <c r="B106" s="9" t="s">
        <v>337</v>
      </c>
      <c r="C106" s="2" t="s">
        <v>748</v>
      </c>
      <c r="D106" t="s">
        <v>1143</v>
      </c>
      <c r="E106" s="12">
        <v>3</v>
      </c>
      <c r="G106">
        <v>1</v>
      </c>
      <c r="R106" t="s">
        <v>797</v>
      </c>
    </row>
    <row r="107" spans="1:19" ht="16">
      <c r="A107" s="2" t="s">
        <v>295</v>
      </c>
      <c r="B107" s="9" t="s">
        <v>337</v>
      </c>
      <c r="C107" s="2" t="s">
        <v>749</v>
      </c>
      <c r="D107" s="9" t="s">
        <v>1144</v>
      </c>
      <c r="E107" s="12">
        <v>10</v>
      </c>
      <c r="F107">
        <v>1</v>
      </c>
      <c r="G107">
        <v>2</v>
      </c>
      <c r="H107">
        <v>1</v>
      </c>
      <c r="I107">
        <v>1</v>
      </c>
      <c r="L107">
        <v>1</v>
      </c>
      <c r="M107">
        <v>1</v>
      </c>
      <c r="P107">
        <v>1</v>
      </c>
      <c r="Q107">
        <v>1</v>
      </c>
      <c r="R107" t="s">
        <v>797</v>
      </c>
    </row>
    <row r="108" spans="1:19" ht="16">
      <c r="A108" s="2" t="s">
        <v>295</v>
      </c>
      <c r="B108" s="9" t="s">
        <v>337</v>
      </c>
      <c r="C108" s="2" t="s">
        <v>750</v>
      </c>
      <c r="D108" t="s">
        <v>1145</v>
      </c>
      <c r="E108" s="12">
        <v>7</v>
      </c>
      <c r="F108">
        <v>1</v>
      </c>
      <c r="G108">
        <v>1</v>
      </c>
      <c r="R108" t="s">
        <v>797</v>
      </c>
    </row>
    <row r="109" spans="1:19" ht="16">
      <c r="A109" s="2" t="s">
        <v>295</v>
      </c>
      <c r="B109" s="9" t="s">
        <v>337</v>
      </c>
      <c r="C109" s="2" t="s">
        <v>751</v>
      </c>
      <c r="D109" t="s">
        <v>1146</v>
      </c>
      <c r="E109" s="12">
        <v>1</v>
      </c>
      <c r="I109">
        <v>1</v>
      </c>
      <c r="R109" t="s">
        <v>797</v>
      </c>
    </row>
    <row r="110" spans="1:19" ht="16">
      <c r="A110" s="2" t="s">
        <v>295</v>
      </c>
      <c r="B110" s="9" t="s">
        <v>337</v>
      </c>
      <c r="C110" s="2" t="s">
        <v>752</v>
      </c>
      <c r="D110" t="s">
        <v>1147</v>
      </c>
      <c r="E110" s="12">
        <v>15</v>
      </c>
      <c r="H110">
        <v>1</v>
      </c>
      <c r="I110">
        <v>1</v>
      </c>
      <c r="R110" t="s">
        <v>797</v>
      </c>
    </row>
    <row r="111" spans="1:19" ht="16">
      <c r="A111" s="2" t="s">
        <v>295</v>
      </c>
      <c r="B111" s="9" t="s">
        <v>337</v>
      </c>
      <c r="C111" s="2" t="s">
        <v>753</v>
      </c>
      <c r="D111" t="s">
        <v>1148</v>
      </c>
      <c r="E111" s="12">
        <v>15</v>
      </c>
      <c r="F111">
        <v>1</v>
      </c>
      <c r="G111">
        <v>2</v>
      </c>
      <c r="H111">
        <v>1</v>
      </c>
      <c r="I111">
        <v>1</v>
      </c>
      <c r="L111">
        <v>1</v>
      </c>
      <c r="M111">
        <v>1</v>
      </c>
    </row>
    <row r="112" spans="1:19" ht="16">
      <c r="A112" s="2" t="s">
        <v>295</v>
      </c>
      <c r="B112" s="9" t="s">
        <v>339</v>
      </c>
      <c r="C112" s="2" t="s">
        <v>754</v>
      </c>
      <c r="D112" s="17" t="s">
        <v>1149</v>
      </c>
      <c r="E112" s="12">
        <v>10</v>
      </c>
      <c r="R112" t="s">
        <v>979</v>
      </c>
    </row>
    <row r="113" spans="1:22" ht="16">
      <c r="A113" s="2" t="s">
        <v>295</v>
      </c>
      <c r="B113" s="9" t="s">
        <v>339</v>
      </c>
      <c r="C113" s="2" t="s">
        <v>755</v>
      </c>
      <c r="D113" s="17" t="s">
        <v>1150</v>
      </c>
      <c r="E113" s="12">
        <v>20</v>
      </c>
      <c r="F113">
        <v>2</v>
      </c>
    </row>
    <row r="114" spans="1:22" ht="16">
      <c r="A114" s="2" t="s">
        <v>295</v>
      </c>
      <c r="B114" s="9" t="s">
        <v>339</v>
      </c>
      <c r="C114" s="2" t="s">
        <v>756</v>
      </c>
      <c r="D114" s="17" t="s">
        <v>1151</v>
      </c>
      <c r="E114" s="12">
        <v>1</v>
      </c>
      <c r="M114">
        <v>1</v>
      </c>
      <c r="S114" t="s">
        <v>23</v>
      </c>
    </row>
    <row r="115" spans="1:22" ht="16">
      <c r="A115" s="2" t="s">
        <v>295</v>
      </c>
      <c r="B115" s="9" t="s">
        <v>339</v>
      </c>
      <c r="C115" s="2" t="s">
        <v>757</v>
      </c>
      <c r="D115" s="17" t="s">
        <v>1152</v>
      </c>
      <c r="E115" s="12">
        <v>9</v>
      </c>
      <c r="G115">
        <v>1</v>
      </c>
      <c r="S115" t="s">
        <v>24</v>
      </c>
    </row>
    <row r="116" spans="1:22" ht="48">
      <c r="A116" s="2" t="s">
        <v>295</v>
      </c>
      <c r="B116" s="9" t="s">
        <v>339</v>
      </c>
      <c r="C116" s="2" t="s">
        <v>758</v>
      </c>
      <c r="D116" s="17" t="s">
        <v>1153</v>
      </c>
      <c r="E116" s="12">
        <v>2</v>
      </c>
      <c r="G116">
        <v>1</v>
      </c>
      <c r="S116" t="s">
        <v>25</v>
      </c>
    </row>
    <row r="117" spans="1:22" ht="16">
      <c r="A117" s="2" t="s">
        <v>295</v>
      </c>
      <c r="B117" s="9" t="s">
        <v>339</v>
      </c>
      <c r="C117" s="2" t="s">
        <v>759</v>
      </c>
      <c r="D117" s="17" t="s">
        <v>1154</v>
      </c>
      <c r="E117" s="12">
        <v>7</v>
      </c>
      <c r="L117">
        <v>1</v>
      </c>
    </row>
    <row r="118" spans="1:22" ht="16">
      <c r="A118" s="2" t="s">
        <v>295</v>
      </c>
      <c r="B118" s="9" t="s">
        <v>339</v>
      </c>
      <c r="C118" s="2" t="s">
        <v>760</v>
      </c>
      <c r="D118" s="17" t="s">
        <v>1155</v>
      </c>
      <c r="E118" s="12">
        <v>6</v>
      </c>
      <c r="I118">
        <v>1</v>
      </c>
    </row>
    <row r="119" spans="1:22" ht="32">
      <c r="A119" s="2" t="s">
        <v>295</v>
      </c>
      <c r="B119" s="9" t="s">
        <v>339</v>
      </c>
      <c r="C119" s="2" t="s">
        <v>761</v>
      </c>
      <c r="D119" s="17" t="s">
        <v>1156</v>
      </c>
      <c r="E119" s="12">
        <v>10</v>
      </c>
      <c r="I119">
        <v>1</v>
      </c>
    </row>
    <row r="120" spans="1:22" ht="16">
      <c r="A120" s="2" t="s">
        <v>295</v>
      </c>
      <c r="B120" s="9" t="s">
        <v>339</v>
      </c>
      <c r="C120" s="2" t="s">
        <v>762</v>
      </c>
      <c r="D120" s="17" t="s">
        <v>1157</v>
      </c>
      <c r="E120" s="12">
        <v>8</v>
      </c>
      <c r="I120">
        <v>1</v>
      </c>
      <c r="S120" t="s">
        <v>392</v>
      </c>
    </row>
    <row r="121" spans="1:22" ht="16">
      <c r="A121" s="2" t="s">
        <v>295</v>
      </c>
      <c r="B121" s="9" t="s">
        <v>339</v>
      </c>
      <c r="C121" s="2" t="s">
        <v>763</v>
      </c>
      <c r="D121" s="17" t="s">
        <v>1158</v>
      </c>
      <c r="E121" s="12">
        <v>1</v>
      </c>
      <c r="I121">
        <v>1</v>
      </c>
      <c r="T121" t="s">
        <v>928</v>
      </c>
    </row>
    <row r="122" spans="1:22" ht="16">
      <c r="A122" s="2" t="s">
        <v>295</v>
      </c>
      <c r="B122" s="9" t="s">
        <v>339</v>
      </c>
      <c r="C122" s="2" t="s">
        <v>764</v>
      </c>
      <c r="D122" s="17" t="s">
        <v>1159</v>
      </c>
      <c r="E122" s="12">
        <v>6</v>
      </c>
      <c r="O122">
        <v>1</v>
      </c>
    </row>
    <row r="123" spans="1:22" ht="16">
      <c r="A123" s="2" t="s">
        <v>295</v>
      </c>
      <c r="B123" s="9" t="s">
        <v>339</v>
      </c>
      <c r="C123" s="2" t="s">
        <v>765</v>
      </c>
      <c r="D123" s="17" t="s">
        <v>1160</v>
      </c>
      <c r="E123" s="12">
        <v>10</v>
      </c>
      <c r="O123">
        <v>1</v>
      </c>
    </row>
    <row r="124" spans="1:22" ht="32">
      <c r="A124" s="2" t="s">
        <v>295</v>
      </c>
      <c r="B124" s="9" t="s">
        <v>339</v>
      </c>
      <c r="C124" s="2" t="s">
        <v>766</v>
      </c>
      <c r="D124" s="17" t="s">
        <v>1161</v>
      </c>
      <c r="E124" s="12">
        <v>20</v>
      </c>
      <c r="J124">
        <v>1</v>
      </c>
      <c r="K124">
        <v>1</v>
      </c>
      <c r="S124" t="s">
        <v>708</v>
      </c>
      <c r="T124" t="s">
        <v>968</v>
      </c>
      <c r="U124">
        <v>2</v>
      </c>
      <c r="V124" s="9" t="s">
        <v>981</v>
      </c>
    </row>
    <row r="125" spans="1:22" ht="16">
      <c r="A125" s="2" t="s">
        <v>295</v>
      </c>
      <c r="B125" s="9" t="s">
        <v>339</v>
      </c>
      <c r="C125" s="2" t="s">
        <v>767</v>
      </c>
      <c r="D125" s="17" t="s">
        <v>1162</v>
      </c>
      <c r="E125" s="12">
        <v>2</v>
      </c>
      <c r="J125">
        <v>1</v>
      </c>
    </row>
    <row r="126" spans="1:22" ht="32">
      <c r="A126" s="2" t="s">
        <v>295</v>
      </c>
      <c r="B126" s="9" t="s">
        <v>339</v>
      </c>
      <c r="C126" s="2" t="s">
        <v>768</v>
      </c>
      <c r="D126" s="17" t="s">
        <v>1163</v>
      </c>
      <c r="E126" s="12">
        <v>20</v>
      </c>
      <c r="N126">
        <v>1</v>
      </c>
    </row>
    <row r="127" spans="1:22" ht="16">
      <c r="A127" s="2" t="s">
        <v>295</v>
      </c>
      <c r="B127" s="9" t="s">
        <v>339</v>
      </c>
      <c r="C127" s="2" t="s">
        <v>769</v>
      </c>
      <c r="D127" s="17" t="s">
        <v>1164</v>
      </c>
      <c r="E127" s="12">
        <v>7</v>
      </c>
      <c r="I127">
        <v>1</v>
      </c>
    </row>
    <row r="128" spans="1:22" ht="16">
      <c r="A128" s="2" t="s">
        <v>295</v>
      </c>
      <c r="B128" s="9" t="s">
        <v>339</v>
      </c>
      <c r="C128" s="2" t="s">
        <v>770</v>
      </c>
      <c r="D128" s="17" t="s">
        <v>1165</v>
      </c>
      <c r="E128" s="12">
        <v>6</v>
      </c>
      <c r="I128">
        <v>1</v>
      </c>
    </row>
    <row r="129" spans="1:19" ht="16">
      <c r="A129" s="2" t="s">
        <v>295</v>
      </c>
      <c r="B129" s="9" t="s">
        <v>339</v>
      </c>
      <c r="C129" s="2" t="s">
        <v>771</v>
      </c>
      <c r="D129" s="46" t="s">
        <v>1166</v>
      </c>
      <c r="E129" s="12">
        <v>12</v>
      </c>
      <c r="F129">
        <v>2</v>
      </c>
    </row>
    <row r="130" spans="1:19" ht="16">
      <c r="A130" s="2" t="s">
        <v>295</v>
      </c>
      <c r="B130" s="9" t="s">
        <v>339</v>
      </c>
      <c r="C130" s="2" t="s">
        <v>772</v>
      </c>
      <c r="D130" s="17" t="s">
        <v>1167</v>
      </c>
      <c r="E130" s="12">
        <v>1</v>
      </c>
      <c r="I130">
        <v>1</v>
      </c>
    </row>
    <row r="131" spans="1:19" ht="48">
      <c r="A131" s="2" t="s">
        <v>295</v>
      </c>
      <c r="B131" s="9" t="s">
        <v>339</v>
      </c>
      <c r="C131" s="2" t="s">
        <v>773</v>
      </c>
      <c r="D131" s="17" t="s">
        <v>1168</v>
      </c>
      <c r="E131" s="12">
        <v>2</v>
      </c>
      <c r="G131">
        <v>2</v>
      </c>
      <c r="S131" t="s">
        <v>25</v>
      </c>
    </row>
    <row r="132" spans="1:19" ht="16">
      <c r="A132" s="2" t="s">
        <v>295</v>
      </c>
      <c r="B132" s="9" t="s">
        <v>339</v>
      </c>
      <c r="C132" s="2" t="s">
        <v>774</v>
      </c>
      <c r="D132" s="17" t="s">
        <v>1169</v>
      </c>
      <c r="E132" s="12">
        <v>8</v>
      </c>
      <c r="J132">
        <v>1</v>
      </c>
      <c r="R132" t="s">
        <v>297</v>
      </c>
    </row>
    <row r="133" spans="1:19" ht="16">
      <c r="A133" s="2" t="s">
        <v>295</v>
      </c>
      <c r="B133" s="9" t="s">
        <v>339</v>
      </c>
      <c r="C133" s="2" t="s">
        <v>775</v>
      </c>
      <c r="D133" s="17" t="s">
        <v>1170</v>
      </c>
      <c r="E133" s="12">
        <v>30</v>
      </c>
      <c r="F133">
        <v>2</v>
      </c>
    </row>
  </sheetData>
  <phoneticPr fontId="4" type="noConversion"/>
  <dataValidations count="1">
    <dataValidation allowBlank="1" showErrorMessage="1" sqref="F1:Q13 F14:J16 L14:Q16 F17:Q54 F55:J57 L55:Q57 F58:Q1048576" xr:uid="{986B3366-0798-7049-ACF1-87FEAF6E2B9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B5687E7-37D0-FB43-B757-5B62E017217C}">
          <x14:formula1>
            <xm:f>保障设施功能!$A:$A</xm:f>
          </x14:formula1>
          <xm:sqref>S2:S1048576</xm:sqref>
        </x14:dataValidation>
        <x14:dataValidation type="list" allowBlank="1" showInputMessage="1" showErrorMessage="1" xr:uid="{D8FC3B04-0D86-804B-8CED-43ABD7F50273}">
          <x14:formula1>
            <xm:f>保障设备!$D:$D</xm:f>
          </x14:formula1>
          <xm:sqref>T2:T1048576</xm:sqref>
        </x14:dataValidation>
        <x14:dataValidation type="list" allowBlank="1" showInputMessage="1" showErrorMessage="1" xr:uid="{5C60202E-4D2E-5641-9C60-35DD3F7D87DD}">
          <x14:formula1>
            <xm:f>保障人员!$D:$D</xm:f>
          </x14:formula1>
          <xm:sqref>R2:R1048576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6"/>
  <sheetViews>
    <sheetView zoomScale="160" workbookViewId="0">
      <selection activeCell="H7" sqref="H7"/>
    </sheetView>
  </sheetViews>
  <sheetFormatPr baseColWidth="10" defaultColWidth="9.5" defaultRowHeight="15"/>
  <cols>
    <col min="1" max="1" width="10" customWidth="1"/>
    <col min="2" max="2" width="15" customWidth="1"/>
    <col min="3" max="3" width="17" customWidth="1"/>
    <col min="4" max="4" width="10" customWidth="1"/>
    <col min="5" max="5" width="18" customWidth="1"/>
    <col min="6" max="7" width="17" customWidth="1"/>
    <col min="8" max="8" width="14.33203125" customWidth="1"/>
    <col min="9" max="9" width="16" customWidth="1"/>
    <col min="10" max="10" width="18" customWidth="1"/>
  </cols>
  <sheetData>
    <row r="1" spans="1:10" ht="16">
      <c r="A1" s="1" t="s">
        <v>97</v>
      </c>
      <c r="B1" s="1" t="s">
        <v>298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</row>
    <row r="2" spans="1:10" ht="16">
      <c r="A2" s="3" t="s">
        <v>338</v>
      </c>
      <c r="B2" s="3" t="s">
        <v>982</v>
      </c>
      <c r="C2" s="2" t="s">
        <v>307</v>
      </c>
      <c r="D2" s="2">
        <v>6</v>
      </c>
      <c r="E2" s="2">
        <v>90</v>
      </c>
      <c r="F2" s="2">
        <v>120</v>
      </c>
      <c r="G2" s="2">
        <v>20</v>
      </c>
      <c r="H2" s="2" t="s">
        <v>366</v>
      </c>
      <c r="I2" s="2"/>
      <c r="J2" s="2" t="s">
        <v>308</v>
      </c>
    </row>
    <row r="3" spans="1:10" ht="16">
      <c r="A3" s="3" t="s">
        <v>340</v>
      </c>
      <c r="B3" s="3" t="s">
        <v>982</v>
      </c>
      <c r="C3" s="2" t="s">
        <v>309</v>
      </c>
      <c r="D3" s="2">
        <v>2</v>
      </c>
      <c r="E3" s="2">
        <v>90</v>
      </c>
      <c r="F3" s="2">
        <v>130</v>
      </c>
      <c r="G3" s="2">
        <v>20</v>
      </c>
      <c r="H3" s="2" t="s">
        <v>368</v>
      </c>
      <c r="I3" s="2"/>
      <c r="J3" s="2" t="s">
        <v>310</v>
      </c>
    </row>
    <row r="4" spans="1:10" ht="16">
      <c r="A4" s="3" t="s">
        <v>338</v>
      </c>
      <c r="B4" s="3" t="s">
        <v>983</v>
      </c>
      <c r="C4" s="2" t="s">
        <v>311</v>
      </c>
      <c r="D4" s="2">
        <v>2</v>
      </c>
      <c r="E4" s="2">
        <v>120</v>
      </c>
      <c r="F4" s="2">
        <v>130</v>
      </c>
      <c r="G4" s="2">
        <v>25</v>
      </c>
      <c r="H4" s="2" t="s">
        <v>368</v>
      </c>
      <c r="I4" s="2"/>
      <c r="J4" s="2" t="s">
        <v>312</v>
      </c>
    </row>
    <row r="5" spans="1:10" ht="16">
      <c r="A5" s="3" t="s">
        <v>339</v>
      </c>
      <c r="B5" s="3" t="s">
        <v>984</v>
      </c>
      <c r="C5" s="2" t="s">
        <v>313</v>
      </c>
      <c r="D5" s="2">
        <v>1</v>
      </c>
      <c r="E5" s="2">
        <v>120</v>
      </c>
      <c r="F5" s="2">
        <v>95</v>
      </c>
      <c r="G5" s="2">
        <v>15</v>
      </c>
      <c r="H5" s="2" t="s">
        <v>367</v>
      </c>
      <c r="I5" s="2"/>
      <c r="J5" s="2" t="s">
        <v>314</v>
      </c>
    </row>
    <row r="6" spans="1:10" ht="16">
      <c r="A6" s="3" t="s">
        <v>337</v>
      </c>
      <c r="B6" s="3" t="s">
        <v>985</v>
      </c>
      <c r="C6" s="2" t="s">
        <v>315</v>
      </c>
      <c r="D6" s="2">
        <v>1</v>
      </c>
      <c r="E6" s="2">
        <v>180</v>
      </c>
      <c r="F6" s="2">
        <v>140</v>
      </c>
      <c r="G6" s="2">
        <v>30</v>
      </c>
      <c r="H6" s="2" t="s">
        <v>631</v>
      </c>
      <c r="I6" s="2"/>
      <c r="J6" s="2" t="s">
        <v>316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539BB1-9B76-2242-9DD0-564B5AA16FB7}">
          <x14:formula1>
            <xm:f>使用保障方案!A:A</xm:f>
          </x14:formula1>
          <xm:sqref>H2:H40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3"/>
  <sheetViews>
    <sheetView zoomScale="224" workbookViewId="0">
      <selection activeCell="F13" sqref="F2:F13"/>
    </sheetView>
  </sheetViews>
  <sheetFormatPr baseColWidth="10" defaultColWidth="9.5" defaultRowHeight="15"/>
  <cols>
    <col min="1" max="1" width="14" customWidth="1"/>
    <col min="2" max="2" width="10" customWidth="1"/>
    <col min="3" max="3" width="15" customWidth="1"/>
    <col min="4" max="4" width="10" customWidth="1"/>
    <col min="5" max="5" width="8.33203125" customWidth="1"/>
    <col min="6" max="6" width="12" customWidth="1"/>
    <col min="7" max="7" width="14" customWidth="1"/>
    <col min="8" max="8" width="16" customWidth="1"/>
    <col min="9" max="9" width="14" customWidth="1"/>
    <col min="10" max="10" width="12" customWidth="1"/>
  </cols>
  <sheetData>
    <row r="1" spans="1:10" ht="32">
      <c r="A1" s="1" t="s">
        <v>317</v>
      </c>
      <c r="B1" s="1" t="s">
        <v>0</v>
      </c>
      <c r="C1" s="1" t="s">
        <v>298</v>
      </c>
      <c r="D1" s="1" t="s">
        <v>318</v>
      </c>
      <c r="E1" s="1" t="s">
        <v>300</v>
      </c>
      <c r="F1" s="1" t="s">
        <v>319</v>
      </c>
      <c r="G1" s="1" t="s">
        <v>320</v>
      </c>
      <c r="H1" s="1" t="s">
        <v>321</v>
      </c>
      <c r="I1" s="1" t="s">
        <v>322</v>
      </c>
      <c r="J1" s="1" t="s">
        <v>323</v>
      </c>
    </row>
    <row r="2" spans="1:10" ht="16">
      <c r="A2" s="3" t="s">
        <v>986</v>
      </c>
      <c r="B2" s="2">
        <v>1</v>
      </c>
      <c r="C2" s="2" t="s">
        <v>982</v>
      </c>
      <c r="D2" s="3" t="s">
        <v>338</v>
      </c>
      <c r="E2" s="2">
        <v>6</v>
      </c>
      <c r="F2" s="3" t="s">
        <v>989</v>
      </c>
      <c r="G2" s="47">
        <v>0.25</v>
      </c>
      <c r="H2" s="47">
        <v>0.33333333333333331</v>
      </c>
      <c r="I2" s="2">
        <v>3</v>
      </c>
      <c r="J2" s="2">
        <v>4</v>
      </c>
    </row>
    <row r="3" spans="1:10" ht="16">
      <c r="A3" s="3" t="s">
        <v>986</v>
      </c>
      <c r="B3" s="2">
        <v>2</v>
      </c>
      <c r="C3" s="2" t="s">
        <v>982</v>
      </c>
      <c r="D3" s="3" t="s">
        <v>340</v>
      </c>
      <c r="E3" s="2">
        <v>2</v>
      </c>
      <c r="F3" s="3" t="s">
        <v>992</v>
      </c>
      <c r="G3" s="47">
        <v>0.25</v>
      </c>
      <c r="H3" s="47">
        <v>0.33333333333333331</v>
      </c>
      <c r="I3" s="2">
        <v>3</v>
      </c>
      <c r="J3" s="2">
        <v>4</v>
      </c>
    </row>
    <row r="4" spans="1:10" ht="16">
      <c r="A4" s="3" t="s">
        <v>986</v>
      </c>
      <c r="B4" s="2">
        <v>3</v>
      </c>
      <c r="C4" s="2" t="s">
        <v>982</v>
      </c>
      <c r="D4" s="3" t="s">
        <v>338</v>
      </c>
      <c r="E4" s="2">
        <v>6</v>
      </c>
      <c r="F4" s="3" t="s">
        <v>990</v>
      </c>
      <c r="G4" s="47">
        <v>0.25</v>
      </c>
      <c r="H4" s="48">
        <v>0.375</v>
      </c>
      <c r="I4" s="2">
        <v>3</v>
      </c>
      <c r="J4" s="2">
        <v>4</v>
      </c>
    </row>
    <row r="5" spans="1:10" ht="16">
      <c r="A5" s="3" t="s">
        <v>986</v>
      </c>
      <c r="B5" s="2">
        <v>4</v>
      </c>
      <c r="C5" s="2" t="s">
        <v>982</v>
      </c>
      <c r="D5" s="3" t="s">
        <v>340</v>
      </c>
      <c r="E5" s="2">
        <v>2</v>
      </c>
      <c r="F5" s="3" t="s">
        <v>993</v>
      </c>
      <c r="G5" s="47">
        <v>0.25</v>
      </c>
      <c r="H5" s="48">
        <v>0.375</v>
      </c>
      <c r="I5" s="2">
        <v>3</v>
      </c>
      <c r="J5" s="2">
        <v>4</v>
      </c>
    </row>
    <row r="6" spans="1:10" ht="16">
      <c r="A6" s="3" t="s">
        <v>986</v>
      </c>
      <c r="B6" s="2">
        <v>5</v>
      </c>
      <c r="C6" s="2" t="s">
        <v>982</v>
      </c>
      <c r="D6" s="3" t="s">
        <v>338</v>
      </c>
      <c r="E6" s="2">
        <v>6</v>
      </c>
      <c r="F6" s="49" t="s">
        <v>991</v>
      </c>
      <c r="G6" s="47">
        <v>0.25</v>
      </c>
      <c r="H6" s="48">
        <v>0.41666666666666669</v>
      </c>
      <c r="I6" s="2">
        <v>2</v>
      </c>
      <c r="J6" s="2">
        <v>4</v>
      </c>
    </row>
    <row r="7" spans="1:10" ht="16">
      <c r="A7" s="3" t="s">
        <v>986</v>
      </c>
      <c r="B7" s="2">
        <v>6</v>
      </c>
      <c r="C7" s="2" t="s">
        <v>982</v>
      </c>
      <c r="D7" s="3" t="s">
        <v>340</v>
      </c>
      <c r="E7" s="2">
        <v>2</v>
      </c>
      <c r="F7" s="3" t="s">
        <v>994</v>
      </c>
      <c r="G7" s="47">
        <v>0.25</v>
      </c>
      <c r="H7" s="48">
        <v>0.41666666666666669</v>
      </c>
      <c r="I7" s="2">
        <v>2</v>
      </c>
      <c r="J7" s="2">
        <v>4</v>
      </c>
    </row>
    <row r="8" spans="1:10" ht="16">
      <c r="A8" s="3" t="s">
        <v>986</v>
      </c>
      <c r="B8" s="2">
        <v>7</v>
      </c>
      <c r="C8" s="2" t="s">
        <v>983</v>
      </c>
      <c r="D8" s="3" t="s">
        <v>338</v>
      </c>
      <c r="E8" s="2">
        <v>2</v>
      </c>
      <c r="F8" s="3" t="s">
        <v>987</v>
      </c>
      <c r="G8" s="47">
        <v>0.25</v>
      </c>
      <c r="H8" s="47">
        <v>0.33333333333333331</v>
      </c>
      <c r="I8" s="2">
        <v>6</v>
      </c>
      <c r="J8" s="2">
        <v>3</v>
      </c>
    </row>
    <row r="9" spans="1:10" ht="16">
      <c r="A9" s="3" t="s">
        <v>986</v>
      </c>
      <c r="B9" s="2">
        <v>8</v>
      </c>
      <c r="C9" s="2" t="s">
        <v>983</v>
      </c>
      <c r="D9" s="3" t="s">
        <v>338</v>
      </c>
      <c r="E9" s="21">
        <v>2</v>
      </c>
      <c r="F9" s="3" t="s">
        <v>988</v>
      </c>
      <c r="G9" s="47">
        <v>0.25</v>
      </c>
      <c r="H9" s="48">
        <v>0.39583333333333331</v>
      </c>
      <c r="I9" s="2">
        <v>6</v>
      </c>
      <c r="J9" s="21">
        <v>3</v>
      </c>
    </row>
    <row r="10" spans="1:10" ht="16">
      <c r="A10" s="3" t="s">
        <v>986</v>
      </c>
      <c r="B10" s="2">
        <v>9</v>
      </c>
      <c r="C10" s="2" t="s">
        <v>985</v>
      </c>
      <c r="D10" s="3" t="s">
        <v>337</v>
      </c>
      <c r="E10" s="2">
        <v>1</v>
      </c>
      <c r="F10" s="3" t="s">
        <v>995</v>
      </c>
      <c r="G10" s="47">
        <v>0.25</v>
      </c>
      <c r="H10" s="47">
        <v>0.33333333333333331</v>
      </c>
      <c r="I10" s="2">
        <v>4</v>
      </c>
      <c r="J10" s="2">
        <v>4</v>
      </c>
    </row>
    <row r="11" spans="1:10" ht="16">
      <c r="A11" s="3" t="s">
        <v>986</v>
      </c>
      <c r="B11" s="2">
        <v>10</v>
      </c>
      <c r="C11" s="2" t="s">
        <v>985</v>
      </c>
      <c r="D11" s="3" t="s">
        <v>337</v>
      </c>
      <c r="E11" s="2">
        <v>1</v>
      </c>
      <c r="F11" s="3" t="s">
        <v>996</v>
      </c>
      <c r="G11" s="47">
        <v>0.25</v>
      </c>
      <c r="H11" s="47">
        <v>0.41666666666666669</v>
      </c>
      <c r="I11" s="2">
        <v>4</v>
      </c>
      <c r="J11" s="2">
        <v>4</v>
      </c>
    </row>
    <row r="12" spans="1:10" ht="16">
      <c r="A12" s="3" t="s">
        <v>986</v>
      </c>
      <c r="B12" s="2">
        <v>11</v>
      </c>
      <c r="C12" s="2" t="s">
        <v>984</v>
      </c>
      <c r="D12" s="3" t="s">
        <v>339</v>
      </c>
      <c r="E12" s="2">
        <v>1</v>
      </c>
      <c r="F12" s="3" t="s">
        <v>997</v>
      </c>
      <c r="G12" s="47">
        <v>0.25</v>
      </c>
      <c r="H12" s="47">
        <v>0.3125</v>
      </c>
      <c r="I12" s="2">
        <v>6</v>
      </c>
      <c r="J12" s="2">
        <v>3</v>
      </c>
    </row>
    <row r="13" spans="1:10" ht="16">
      <c r="A13" s="3" t="s">
        <v>986</v>
      </c>
      <c r="B13" s="2">
        <v>12</v>
      </c>
      <c r="C13" s="2" t="s">
        <v>984</v>
      </c>
      <c r="D13" s="3" t="s">
        <v>339</v>
      </c>
      <c r="E13" s="2">
        <v>1</v>
      </c>
      <c r="F13" s="3" t="s">
        <v>998</v>
      </c>
      <c r="G13" s="47">
        <v>0.25</v>
      </c>
      <c r="H13" s="47">
        <v>0.375</v>
      </c>
      <c r="I13" s="2">
        <v>6</v>
      </c>
      <c r="J13" s="2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F5B1614-382D-814D-9D9E-B7E10B8E4F8F}">
          <x14:formula1>
            <xm:f>基本任务!$A:$A</xm:f>
          </x14:formula1>
          <xm:sqref>D2:D13</xm:sqref>
        </x14:dataValidation>
        <x14:dataValidation type="list" allowBlank="1" showInputMessage="1" showErrorMessage="1" xr:uid="{80ECB611-70F4-AC4E-814B-803710A87AD4}">
          <x14:formula1>
            <xm:f>基本任务!$B:$B</xm:f>
          </x14:formula1>
          <xm:sqref>C2:C13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4"/>
  <sheetViews>
    <sheetView zoomScale="169" workbookViewId="0">
      <selection activeCell="A2" sqref="A2"/>
    </sheetView>
  </sheetViews>
  <sheetFormatPr baseColWidth="10" defaultColWidth="9.5" defaultRowHeight="15"/>
  <cols>
    <col min="1" max="1" width="16" customWidth="1"/>
    <col min="2" max="2" width="11" customWidth="1"/>
    <col min="3" max="3" width="10" customWidth="1"/>
    <col min="4" max="4" width="11" customWidth="1"/>
    <col min="5" max="5" width="10" customWidth="1"/>
    <col min="6" max="6" width="11" customWidth="1"/>
    <col min="7" max="9" width="10" customWidth="1"/>
  </cols>
  <sheetData>
    <row r="1" spans="1:9" ht="16">
      <c r="A1" s="1" t="s">
        <v>324</v>
      </c>
      <c r="B1" s="1" t="s">
        <v>325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330</v>
      </c>
      <c r="H1" s="1" t="s">
        <v>331</v>
      </c>
      <c r="I1" s="1" t="s">
        <v>332</v>
      </c>
    </row>
    <row r="2" spans="1:9" ht="32">
      <c r="A2" s="2" t="s">
        <v>333</v>
      </c>
      <c r="B2" s="3" t="s">
        <v>986</v>
      </c>
      <c r="C2" s="3" t="s">
        <v>986</v>
      </c>
      <c r="D2" s="3" t="s">
        <v>986</v>
      </c>
      <c r="E2" s="3" t="s">
        <v>986</v>
      </c>
      <c r="F2" s="2"/>
      <c r="G2" s="2"/>
      <c r="H2" s="2"/>
      <c r="I2" s="2">
        <v>1</v>
      </c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>
      <c r="A4" s="2"/>
      <c r="B4" s="2"/>
      <c r="C4" s="2"/>
      <c r="D4" s="2"/>
      <c r="E4" s="2"/>
      <c r="F4" s="2"/>
      <c r="G4" s="2"/>
      <c r="H4" s="2"/>
      <c r="I4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3"/>
  <sheetViews>
    <sheetView zoomScale="166" workbookViewId="0">
      <selection activeCell="E10" sqref="E10"/>
    </sheetView>
  </sheetViews>
  <sheetFormatPr baseColWidth="10" defaultColWidth="9.5" defaultRowHeight="15"/>
  <cols>
    <col min="1" max="1" width="16" customWidth="1"/>
    <col min="2" max="2" width="17.6640625" customWidth="1"/>
    <col min="3" max="4" width="10" customWidth="1"/>
    <col min="5" max="5" width="38.6640625" customWidth="1"/>
  </cols>
  <sheetData>
    <row r="1" spans="1:5" ht="16">
      <c r="A1" s="1" t="s">
        <v>324</v>
      </c>
      <c r="B1" s="1" t="s">
        <v>319</v>
      </c>
      <c r="C1" s="1" t="s">
        <v>334</v>
      </c>
      <c r="D1" s="1" t="s">
        <v>335</v>
      </c>
      <c r="E1" s="1" t="s">
        <v>336</v>
      </c>
    </row>
    <row r="2" spans="1:5" ht="16">
      <c r="A2" s="2" t="s">
        <v>333</v>
      </c>
      <c r="B2" s="3" t="s">
        <v>989</v>
      </c>
      <c r="C2" s="3" t="s">
        <v>338</v>
      </c>
      <c r="D2" s="2">
        <v>6</v>
      </c>
      <c r="E2" s="3" t="s">
        <v>1040</v>
      </c>
    </row>
    <row r="3" spans="1:5" ht="16">
      <c r="A3" s="2" t="s">
        <v>333</v>
      </c>
      <c r="B3" s="3" t="s">
        <v>992</v>
      </c>
      <c r="C3" s="3" t="s">
        <v>340</v>
      </c>
      <c r="D3" s="2">
        <v>2</v>
      </c>
      <c r="E3" s="3" t="s">
        <v>1041</v>
      </c>
    </row>
    <row r="4" spans="1:5" ht="16">
      <c r="A4" s="2" t="s">
        <v>333</v>
      </c>
      <c r="B4" s="3" t="s">
        <v>990</v>
      </c>
      <c r="C4" s="3" t="s">
        <v>338</v>
      </c>
      <c r="D4" s="2">
        <v>6</v>
      </c>
      <c r="E4" s="3" t="s">
        <v>1042</v>
      </c>
    </row>
    <row r="5" spans="1:5" ht="16">
      <c r="A5" s="2" t="s">
        <v>333</v>
      </c>
      <c r="B5" s="3" t="s">
        <v>993</v>
      </c>
      <c r="C5" s="3" t="s">
        <v>340</v>
      </c>
      <c r="D5" s="2">
        <v>2</v>
      </c>
      <c r="E5" s="3" t="s">
        <v>1043</v>
      </c>
    </row>
    <row r="6" spans="1:5" ht="16">
      <c r="A6" s="2" t="s">
        <v>333</v>
      </c>
      <c r="B6" s="49" t="s">
        <v>991</v>
      </c>
      <c r="C6" s="3" t="s">
        <v>338</v>
      </c>
      <c r="D6" s="2">
        <v>6</v>
      </c>
      <c r="E6" s="3" t="s">
        <v>1044</v>
      </c>
    </row>
    <row r="7" spans="1:5" ht="16">
      <c r="A7" s="2" t="s">
        <v>333</v>
      </c>
      <c r="B7" s="3" t="s">
        <v>994</v>
      </c>
      <c r="C7" s="3" t="s">
        <v>340</v>
      </c>
      <c r="D7" s="2">
        <v>2</v>
      </c>
      <c r="E7" s="3" t="s">
        <v>1045</v>
      </c>
    </row>
    <row r="8" spans="1:5" ht="16">
      <c r="A8" s="2" t="s">
        <v>333</v>
      </c>
      <c r="B8" s="3" t="s">
        <v>987</v>
      </c>
      <c r="C8" s="3" t="s">
        <v>338</v>
      </c>
      <c r="D8" s="2">
        <v>2</v>
      </c>
      <c r="E8" s="3" t="s">
        <v>1046</v>
      </c>
    </row>
    <row r="9" spans="1:5" ht="16">
      <c r="A9" s="2" t="s">
        <v>333</v>
      </c>
      <c r="B9" s="3" t="s">
        <v>988</v>
      </c>
      <c r="C9" s="3" t="s">
        <v>338</v>
      </c>
      <c r="D9" s="2">
        <v>2</v>
      </c>
      <c r="E9" s="3" t="s">
        <v>1047</v>
      </c>
    </row>
    <row r="10" spans="1:5" ht="16">
      <c r="A10" s="2" t="s">
        <v>333</v>
      </c>
      <c r="B10" s="3" t="s">
        <v>995</v>
      </c>
      <c r="C10" s="3" t="s">
        <v>337</v>
      </c>
      <c r="D10" s="2">
        <v>1</v>
      </c>
      <c r="E10" s="3" t="s">
        <v>1036</v>
      </c>
    </row>
    <row r="11" spans="1:5" ht="16">
      <c r="A11" s="2" t="s">
        <v>333</v>
      </c>
      <c r="B11" s="3" t="s">
        <v>996</v>
      </c>
      <c r="C11" s="3" t="s">
        <v>337</v>
      </c>
      <c r="D11" s="21">
        <v>1</v>
      </c>
      <c r="E11" s="9" t="s">
        <v>1037</v>
      </c>
    </row>
    <row r="12" spans="1:5" ht="16">
      <c r="A12" s="2" t="s">
        <v>333</v>
      </c>
      <c r="B12" s="3" t="s">
        <v>997</v>
      </c>
      <c r="C12" s="9" t="s">
        <v>339</v>
      </c>
      <c r="D12" s="21">
        <v>1</v>
      </c>
      <c r="E12" s="9" t="s">
        <v>1023</v>
      </c>
    </row>
    <row r="13" spans="1:5" ht="16">
      <c r="A13" s="2" t="s">
        <v>333</v>
      </c>
      <c r="B13" s="3" t="s">
        <v>998</v>
      </c>
      <c r="C13" s="9" t="s">
        <v>339</v>
      </c>
      <c r="D13" s="21">
        <v>1</v>
      </c>
      <c r="E13" s="9" t="s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船型列表</vt:lpstr>
      <vt:lpstr>保障站位列表</vt:lpstr>
      <vt:lpstr>保障设施列表</vt:lpstr>
      <vt:lpstr>保障设施功能</vt:lpstr>
      <vt:lpstr>保障站位-设施关联矩阵</vt:lpstr>
      <vt:lpstr>装备结构树</vt:lpstr>
      <vt:lpstr>飞机池列表</vt:lpstr>
      <vt:lpstr>保障组织结构树</vt:lpstr>
      <vt:lpstr>保障人员</vt:lpstr>
      <vt:lpstr>保障设备</vt:lpstr>
      <vt:lpstr>备件</vt:lpstr>
      <vt:lpstr>弹药建模</vt:lpstr>
      <vt:lpstr>使用保障方案</vt:lpstr>
      <vt:lpstr>使用保障活动清单</vt:lpstr>
      <vt:lpstr>预防性维修活动</vt:lpstr>
      <vt:lpstr>修复性维修活动</vt:lpstr>
      <vt:lpstr>基本保障活动列表库</vt:lpstr>
      <vt:lpstr>基本任务</vt:lpstr>
      <vt:lpstr>复合任务</vt:lpstr>
      <vt:lpstr>周期性任务</vt:lpstr>
      <vt:lpstr>基本使用单元</vt:lpstr>
      <vt:lpstr>使用保障活动清单!_FilterDatabase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e4584</cp:lastModifiedBy>
  <dcterms:created xsi:type="dcterms:W3CDTF">2026-05-29T03:04:19Z</dcterms:created>
  <dcterms:modified xsi:type="dcterms:W3CDTF">2026-05-31T10:08:38Z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136462A56A444EFBBE4F48F754579D7B_12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